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見積書" sheetId="1" state="visible" r:id="rId1"/>
  </sheets>
  <definedNames>
    <definedName name="_xlnm.Print_Area" localSheetId="0">'見積書'!$A$1:$J$28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¥&quot;#,##0;[Red]&quot;¥&quot;\-#,##0"/>
    <numFmt numFmtId="166" formatCode="[$-411]ggge&quot;年&quot;m&quot;月&quot;d&quot;日&quot;"/>
  </numFmts>
  <fonts count="1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Meiryo UI"/>
      <charset val="128"/>
      <family val="3"/>
      <sz val="20"/>
    </font>
    <font>
      <name val="Meiryo UI"/>
      <charset val="128"/>
      <family val="3"/>
      <sz val="11"/>
    </font>
    <font>
      <name val="Meiryo UI"/>
      <charset val="128"/>
      <family val="3"/>
      <b val="1"/>
      <sz val="14"/>
    </font>
    <font>
      <name val="Meiryo UI"/>
      <charset val="128"/>
      <family val="3"/>
      <sz val="16"/>
    </font>
    <font>
      <name val="Meiryo UI"/>
      <charset val="128"/>
      <family val="3"/>
      <color indexed="10"/>
      <sz val="11"/>
    </font>
    <font>
      <name val="Meiryo UI"/>
      <charset val="128"/>
      <family val="3"/>
      <b val="1"/>
      <sz val="11"/>
    </font>
    <font>
      <name val="Meiryo UI"/>
      <charset val="128"/>
      <family val="3"/>
      <sz val="12"/>
    </font>
    <font>
      <name val="ＭＳ Ｐゴシック"/>
      <charset val="128"/>
      <family val="3"/>
      <sz val="11"/>
    </font>
    <font>
      <name val="Meiryo UI"/>
      <charset val="128"/>
      <family val="3"/>
      <b val="1"/>
      <sz val="16"/>
    </font>
    <font>
      <name val="Meiryo UI"/>
      <charset val="128"/>
      <family val="3"/>
      <b val="1"/>
      <color rgb="FFFF0000"/>
      <sz val="11"/>
    </font>
    <font>
      <name val="Meiryo UI"/>
      <charset val="128"/>
      <family val="3"/>
      <sz val="11"/>
    </font>
    <font>
      <name val="Meiryo UI"/>
      <charset val="128"/>
      <family val="3"/>
      <b val="1"/>
      <sz val="10"/>
    </font>
    <font>
      <name val="Meiryo UI"/>
      <charset val="128"/>
      <family val="3"/>
      <sz val="10"/>
    </font>
    <font>
      <name val="Meiryo UI"/>
      <b val="1"/>
      <sz val="9"/>
    </font>
    <font>
      <name val="Meiryo UI"/>
      <b val="1"/>
      <color rgb="00CC0000"/>
      <sz val="9"/>
    </font>
    <font>
      <name val="Meiryo UI"/>
      <sz val="9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00FFFF99"/>
      </patternFill>
    </fill>
    <fill>
      <patternFill patternType="solid">
        <fgColor rgb="00FFF2CC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9" fillId="0" borderId="4"/>
    <xf numFmtId="38" fontId="9" fillId="0" borderId="4" applyAlignment="1">
      <alignment vertical="center"/>
    </xf>
  </cellStyleXfs>
  <cellXfs count="9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8" fontId="3" fillId="0" borderId="0" applyAlignment="1" pivotButton="0" quotePrefix="0" xfId="1">
      <alignment vertical="center"/>
    </xf>
    <xf numFmtId="38" fontId="3" fillId="0" borderId="0" applyAlignment="1" pivotButton="0" quotePrefix="0" xfId="1">
      <alignment horizontal="center" vertical="center"/>
    </xf>
    <xf numFmtId="38" fontId="10" fillId="0" borderId="2" applyAlignment="1" pivotButton="0" quotePrefix="0" xfId="0">
      <alignment horizontal="left" vertical="center"/>
    </xf>
    <xf numFmtId="38" fontId="3" fillId="0" borderId="2" applyAlignment="1" pivotButton="0" quotePrefix="0" xfId="1">
      <alignment vertical="center"/>
    </xf>
    <xf numFmtId="38" fontId="3" fillId="0" borderId="3" applyAlignment="1" pivotButton="0" quotePrefix="0" xfId="1">
      <alignment vertical="center"/>
    </xf>
    <xf numFmtId="0" fontId="9" fillId="0" borderId="0" pivotButton="0" quotePrefix="0" xfId="0"/>
    <xf numFmtId="0" fontId="0" fillId="0" borderId="4" pivotButton="0" quotePrefix="0" xfId="0"/>
    <xf numFmtId="0" fontId="3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left" vertical="top"/>
    </xf>
    <xf numFmtId="0" fontId="3" fillId="0" borderId="4" applyAlignment="1" pivotButton="0" quotePrefix="0" xfId="0">
      <alignment vertical="top"/>
    </xf>
    <xf numFmtId="38" fontId="8" fillId="0" borderId="4" applyAlignment="1" pivotButton="0" quotePrefix="0" xfId="1">
      <alignment vertical="center"/>
    </xf>
    <xf numFmtId="0" fontId="8" fillId="0" borderId="4" applyAlignment="1" pivotButton="0" quotePrefix="0" xfId="0">
      <alignment vertical="center"/>
    </xf>
    <xf numFmtId="0" fontId="11" fillId="0" borderId="4" applyAlignment="1" pivotButton="0" quotePrefix="0" xfId="0">
      <alignment vertical="top"/>
    </xf>
    <xf numFmtId="0" fontId="8" fillId="0" borderId="4" applyAlignment="1" pivotButton="0" quotePrefix="0" xfId="0">
      <alignment vertical="top"/>
    </xf>
    <xf numFmtId="0" fontId="8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vertical="center"/>
    </xf>
    <xf numFmtId="38" fontId="1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vertical="center" shrinkToFit="1"/>
    </xf>
    <xf numFmtId="164" fontId="14" fillId="0" borderId="5" applyAlignment="1" pivotButton="0" quotePrefix="0" xfId="0">
      <alignment horizontal="center" vertical="center"/>
    </xf>
    <xf numFmtId="164" fontId="14" fillId="0" borderId="5" applyAlignment="1" pivotButton="0" quotePrefix="0" xfId="0">
      <alignment horizontal="right" vertical="center"/>
    </xf>
    <xf numFmtId="3" fontId="14" fillId="0" borderId="5" applyAlignment="1" pivotButton="0" quotePrefix="0" xfId="0">
      <alignment horizontal="right" vertical="center"/>
    </xf>
    <xf numFmtId="164" fontId="14" fillId="0" borderId="5" applyAlignment="1" pivotButton="0" quotePrefix="0" xfId="1">
      <alignment horizontal="center" vertical="center"/>
    </xf>
    <xf numFmtId="164" fontId="14" fillId="0" borderId="5" applyAlignment="1" pivotButton="0" quotePrefix="0" xfId="1">
      <alignment horizontal="right" vertical="center"/>
    </xf>
    <xf numFmtId="0" fontId="0" fillId="0" borderId="5" pivotButton="0" quotePrefix="0" xfId="0"/>
    <xf numFmtId="164" fontId="0" fillId="0" borderId="5" pivotButton="0" quotePrefix="0" xfId="0"/>
    <xf numFmtId="3" fontId="0" fillId="0" borderId="5" pivotButton="0" quotePrefix="0" xfId="0"/>
    <xf numFmtId="3" fontId="14" fillId="0" borderId="5" applyAlignment="1" pivotButton="0" quotePrefix="0" xfId="0">
      <alignment horizontal="center" vertical="center"/>
    </xf>
    <xf numFmtId="3" fontId="14" fillId="0" borderId="5" applyAlignment="1" pivotButton="0" quotePrefix="0" xfId="1">
      <alignment horizontal="center" vertical="center"/>
    </xf>
    <xf numFmtId="0" fontId="3" fillId="0" borderId="3" applyAlignment="1" pivotButton="0" quotePrefix="0" xfId="0">
      <alignment horizontal="left" vertical="center" shrinkToFit="1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8" fontId="3" fillId="0" borderId="0" applyAlignment="1" pivotButton="0" quotePrefix="0" xfId="1">
      <alignment vertical="center"/>
    </xf>
    <xf numFmtId="0" fontId="3" fillId="0" borderId="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 shrinkToFit="1"/>
    </xf>
    <xf numFmtId="58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38" fontId="3" fillId="0" borderId="4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0" fontId="9" fillId="0" borderId="4" pivotButton="0" quotePrefix="0" xfId="0"/>
    <xf numFmtId="38" fontId="3" fillId="0" borderId="4" applyAlignment="1" pivotButton="0" quotePrefix="0" xfId="1">
      <alignment vertical="center"/>
    </xf>
    <xf numFmtId="38" fontId="3" fillId="0" borderId="4" applyAlignment="1" pivotButton="0" quotePrefix="0" xfId="1">
      <alignment horizontal="center" vertical="center"/>
    </xf>
    <xf numFmtId="0" fontId="7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vertical="top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38" fontId="13" fillId="2" borderId="7" applyAlignment="1" pivotButton="0" quotePrefix="0" xfId="1">
      <alignment horizontal="center" vertical="center"/>
    </xf>
    <xf numFmtId="0" fontId="13" fillId="2" borderId="8" applyAlignment="1" pivotButton="0" quotePrefix="0" xfId="0">
      <alignment horizontal="center" vertical="center"/>
    </xf>
    <xf numFmtId="3" fontId="14" fillId="0" borderId="9" applyAlignment="1" pivotButton="0" quotePrefix="0" xfId="0">
      <alignment horizontal="center" vertical="center"/>
    </xf>
    <xf numFmtId="3" fontId="14" fillId="0" borderId="10" applyAlignment="1" pivotButton="0" quotePrefix="0" xfId="0">
      <alignment horizontal="right" vertical="center"/>
    </xf>
    <xf numFmtId="3" fontId="1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164" fontId="3" fillId="0" borderId="12" applyAlignment="1" pivotButton="0" quotePrefix="0" xfId="0">
      <alignment horizontal="center" vertical="center"/>
    </xf>
    <xf numFmtId="38" fontId="3" fillId="0" borderId="12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3" fontId="0" fillId="0" borderId="12" pivotButton="0" quotePrefix="0" xfId="0"/>
    <xf numFmtId="3" fontId="13" fillId="0" borderId="13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58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/>
    </xf>
    <xf numFmtId="4" fontId="16" fillId="3" borderId="15" pivotButton="0" quotePrefix="0" xfId="0"/>
    <xf numFmtId="164" fontId="14" fillId="0" borderId="5" applyAlignment="1" pivotButton="0" quotePrefix="0" xfId="0">
      <alignment horizontal="center" vertical="center"/>
    </xf>
    <xf numFmtId="164" fontId="14" fillId="0" borderId="5" applyAlignment="1" pivotButton="0" quotePrefix="0" xfId="0">
      <alignment horizontal="right" vertical="center"/>
    </xf>
    <xf numFmtId="4" fontId="14" fillId="0" borderId="5" applyAlignment="1" pivotButton="0" quotePrefix="0" xfId="0">
      <alignment horizontal="right" vertical="center"/>
    </xf>
    <xf numFmtId="4" fontId="17" fillId="4" borderId="15" applyAlignment="1" pivotButton="0" quotePrefix="0" xfId="0">
      <alignment horizontal="right" vertical="center"/>
    </xf>
    <xf numFmtId="3" fontId="17" fillId="4" borderId="15" applyAlignment="1" pivotButton="0" quotePrefix="0" xfId="0">
      <alignment horizontal="right" vertical="center"/>
    </xf>
    <xf numFmtId="164" fontId="14" fillId="0" borderId="5" applyAlignment="1" pivotButton="0" quotePrefix="0" xfId="1">
      <alignment horizontal="center" vertical="center"/>
    </xf>
    <xf numFmtId="164" fontId="14" fillId="0" borderId="5" applyAlignment="1" pivotButton="0" quotePrefix="0" xfId="1">
      <alignment horizontal="right" vertical="center"/>
    </xf>
    <xf numFmtId="164" fontId="0" fillId="0" borderId="5" pivotButton="0" quotePrefix="0" xfId="0"/>
    <xf numFmtId="164" fontId="3" fillId="0" borderId="12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3" fontId="15" fillId="0" borderId="0" pivotButton="0" quotePrefix="0" xfId="0"/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571500</colOff>
      <row>8</row>
      <rowOff>95250</rowOff>
    </from>
    <ext cx="762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4"/>
  <sheetViews>
    <sheetView tabSelected="1" view="pageBreakPreview" topLeftCell="A2" zoomScale="79" zoomScaleNormal="55" zoomScaleSheetLayoutView="115" workbookViewId="0">
      <selection activeCell="J28" sqref="J28"/>
    </sheetView>
  </sheetViews>
  <sheetFormatPr baseColWidth="8" defaultRowHeight="15" customHeight="1"/>
  <cols>
    <col width="3.08984375" customWidth="1" style="37" min="1" max="1"/>
    <col width="8" customWidth="1" style="37" min="2" max="2"/>
    <col width="15.08984375" customWidth="1" style="37" min="3" max="3"/>
    <col width="27.1796875" customWidth="1" style="37" min="4" max="4"/>
    <col width="17.36328125" customWidth="1" style="39" min="5" max="5"/>
    <col width="15.453125" bestFit="1" customWidth="1" style="39" min="6" max="6"/>
    <col width="15.453125" customWidth="1" style="39" min="7" max="7"/>
    <col width="15.6328125" customWidth="1" style="37" min="8" max="8"/>
    <col width="10.36328125" customWidth="1" style="37" min="9" max="9"/>
    <col width="15" customWidth="1" style="37" min="10" max="10"/>
    <col width="8.90625" customWidth="1" style="37" min="11" max="12"/>
    <col hidden="1" width="7.7265625" customWidth="1" style="37" min="13" max="13"/>
    <col hidden="1" width="13.36328125" bestFit="1" customWidth="1" style="37" min="14" max="14"/>
    <col hidden="1" width="11.26953125" bestFit="1" customWidth="1" style="37" min="15" max="15"/>
    <col hidden="1" width="13.6328125" bestFit="1" customWidth="1" style="37" min="16" max="16"/>
    <col hidden="1" width="8.90625" customWidth="1" style="37" min="17" max="242"/>
    <col width="3.1796875" customWidth="1" style="37" min="243" max="243"/>
    <col width="11.36328125" customWidth="1" style="37" min="244" max="244"/>
    <col width="10.1796875" customWidth="1" style="37" min="245" max="245"/>
    <col width="8.90625" customWidth="1" style="37" min="246" max="246"/>
    <col width="9.81640625" customWidth="1" style="37" min="247" max="247"/>
    <col width="9.08984375" bestFit="1" customWidth="1" style="37" min="248" max="248"/>
    <col width="9.08984375" customWidth="1" style="37" min="249" max="249"/>
    <col width="10.453125" bestFit="1" customWidth="1" style="37" min="250" max="250"/>
    <col width="10.36328125" customWidth="1" style="37" min="251" max="251"/>
    <col width="12.1796875" customWidth="1" style="37" min="252" max="252"/>
    <col width="2.81640625" customWidth="1" style="37" min="253" max="253"/>
    <col width="8.90625" customWidth="1" style="37" min="254" max="498"/>
    <col width="3.1796875" customWidth="1" style="37" min="499" max="499"/>
    <col width="11.36328125" customWidth="1" style="37" min="500" max="500"/>
    <col width="10.1796875" customWidth="1" style="37" min="501" max="501"/>
    <col width="8.90625" customWidth="1" style="37" min="502" max="502"/>
    <col width="9.81640625" customWidth="1" style="37" min="503" max="503"/>
    <col width="9.08984375" bestFit="1" customWidth="1" style="37" min="504" max="504"/>
    <col width="9.08984375" customWidth="1" style="37" min="505" max="505"/>
    <col width="10.453125" bestFit="1" customWidth="1" style="37" min="506" max="506"/>
    <col width="10.36328125" customWidth="1" style="37" min="507" max="507"/>
    <col width="12.1796875" customWidth="1" style="37" min="508" max="508"/>
    <col width="2.81640625" customWidth="1" style="37" min="509" max="509"/>
    <col width="8.90625" customWidth="1" style="37" min="510" max="754"/>
    <col width="3.1796875" customWidth="1" style="37" min="755" max="755"/>
    <col width="11.36328125" customWidth="1" style="37" min="756" max="756"/>
    <col width="10.1796875" customWidth="1" style="37" min="757" max="757"/>
    <col width="8.90625" customWidth="1" style="37" min="758" max="758"/>
    <col width="9.81640625" customWidth="1" style="37" min="759" max="759"/>
    <col width="9.08984375" bestFit="1" customWidth="1" style="37" min="760" max="760"/>
    <col width="9.08984375" customWidth="1" style="37" min="761" max="761"/>
    <col width="10.453125" bestFit="1" customWidth="1" style="37" min="762" max="762"/>
    <col width="10.36328125" customWidth="1" style="37" min="763" max="763"/>
    <col width="12.1796875" customWidth="1" style="37" min="764" max="764"/>
    <col width="2.81640625" customWidth="1" style="37" min="765" max="765"/>
    <col width="8.90625" customWidth="1" style="37" min="766" max="1010"/>
    <col width="3.1796875" customWidth="1" style="37" min="1011" max="1011"/>
    <col width="11.36328125" customWidth="1" style="37" min="1012" max="1012"/>
    <col width="10.1796875" customWidth="1" style="37" min="1013" max="1013"/>
    <col width="8.90625" customWidth="1" style="37" min="1014" max="1014"/>
    <col width="9.81640625" customWidth="1" style="37" min="1015" max="1015"/>
    <col width="9.08984375" bestFit="1" customWidth="1" style="37" min="1016" max="1016"/>
    <col width="9.08984375" customWidth="1" style="37" min="1017" max="1017"/>
    <col width="10.453125" bestFit="1" customWidth="1" style="37" min="1018" max="1018"/>
    <col width="10.36328125" customWidth="1" style="37" min="1019" max="1019"/>
    <col width="12.1796875" customWidth="1" style="37" min="1020" max="1020"/>
    <col width="2.81640625" customWidth="1" style="37" min="1021" max="1021"/>
    <col width="8.90625" customWidth="1" style="37" min="1022" max="1266"/>
    <col width="3.1796875" customWidth="1" style="37" min="1267" max="1267"/>
    <col width="11.36328125" customWidth="1" style="37" min="1268" max="1268"/>
    <col width="10.1796875" customWidth="1" style="37" min="1269" max="1269"/>
    <col width="8.90625" customWidth="1" style="37" min="1270" max="1270"/>
    <col width="9.81640625" customWidth="1" style="37" min="1271" max="1271"/>
    <col width="9.08984375" bestFit="1" customWidth="1" style="37" min="1272" max="1272"/>
    <col width="9.08984375" customWidth="1" style="37" min="1273" max="1273"/>
    <col width="10.453125" bestFit="1" customWidth="1" style="37" min="1274" max="1274"/>
    <col width="10.36328125" customWidth="1" style="37" min="1275" max="1275"/>
    <col width="12.1796875" customWidth="1" style="37" min="1276" max="1276"/>
    <col width="2.81640625" customWidth="1" style="37" min="1277" max="1277"/>
    <col width="8.90625" customWidth="1" style="37" min="1278" max="1522"/>
    <col width="3.1796875" customWidth="1" style="37" min="1523" max="1523"/>
    <col width="11.36328125" customWidth="1" style="37" min="1524" max="1524"/>
    <col width="10.1796875" customWidth="1" style="37" min="1525" max="1525"/>
    <col width="8.90625" customWidth="1" style="37" min="1526" max="1526"/>
    <col width="9.81640625" customWidth="1" style="37" min="1527" max="1527"/>
    <col width="9.08984375" bestFit="1" customWidth="1" style="37" min="1528" max="1528"/>
    <col width="9.08984375" customWidth="1" style="37" min="1529" max="1529"/>
    <col width="10.453125" bestFit="1" customWidth="1" style="37" min="1530" max="1530"/>
    <col width="10.36328125" customWidth="1" style="37" min="1531" max="1531"/>
    <col width="12.1796875" customWidth="1" style="37" min="1532" max="1532"/>
    <col width="2.81640625" customWidth="1" style="37" min="1533" max="1533"/>
    <col width="8.90625" customWidth="1" style="37" min="1534" max="1778"/>
    <col width="3.1796875" customWidth="1" style="37" min="1779" max="1779"/>
    <col width="11.36328125" customWidth="1" style="37" min="1780" max="1780"/>
    <col width="10.1796875" customWidth="1" style="37" min="1781" max="1781"/>
    <col width="8.90625" customWidth="1" style="37" min="1782" max="1782"/>
    <col width="9.81640625" customWidth="1" style="37" min="1783" max="1783"/>
    <col width="9.08984375" bestFit="1" customWidth="1" style="37" min="1784" max="1784"/>
    <col width="9.08984375" customWidth="1" style="37" min="1785" max="1785"/>
    <col width="10.453125" bestFit="1" customWidth="1" style="37" min="1786" max="1786"/>
    <col width="10.36328125" customWidth="1" style="37" min="1787" max="1787"/>
    <col width="12.1796875" customWidth="1" style="37" min="1788" max="1788"/>
    <col width="2.81640625" customWidth="1" style="37" min="1789" max="1789"/>
    <col width="8.90625" customWidth="1" style="37" min="1790" max="2034"/>
    <col width="3.1796875" customWidth="1" style="37" min="2035" max="2035"/>
    <col width="11.36328125" customWidth="1" style="37" min="2036" max="2036"/>
    <col width="10.1796875" customWidth="1" style="37" min="2037" max="2037"/>
    <col width="8.90625" customWidth="1" style="37" min="2038" max="2038"/>
    <col width="9.81640625" customWidth="1" style="37" min="2039" max="2039"/>
    <col width="9.08984375" bestFit="1" customWidth="1" style="37" min="2040" max="2040"/>
    <col width="9.08984375" customWidth="1" style="37" min="2041" max="2041"/>
    <col width="10.453125" bestFit="1" customWidth="1" style="37" min="2042" max="2042"/>
    <col width="10.36328125" customWidth="1" style="37" min="2043" max="2043"/>
    <col width="12.1796875" customWidth="1" style="37" min="2044" max="2044"/>
    <col width="2.81640625" customWidth="1" style="37" min="2045" max="2045"/>
    <col width="8.90625" customWidth="1" style="37" min="2046" max="2290"/>
    <col width="3.1796875" customWidth="1" style="37" min="2291" max="2291"/>
    <col width="11.36328125" customWidth="1" style="37" min="2292" max="2292"/>
    <col width="10.1796875" customWidth="1" style="37" min="2293" max="2293"/>
    <col width="8.90625" customWidth="1" style="37" min="2294" max="2294"/>
    <col width="9.81640625" customWidth="1" style="37" min="2295" max="2295"/>
    <col width="9.08984375" bestFit="1" customWidth="1" style="37" min="2296" max="2296"/>
    <col width="9.08984375" customWidth="1" style="37" min="2297" max="2297"/>
    <col width="10.453125" bestFit="1" customWidth="1" style="37" min="2298" max="2298"/>
    <col width="10.36328125" customWidth="1" style="37" min="2299" max="2299"/>
    <col width="12.1796875" customWidth="1" style="37" min="2300" max="2300"/>
    <col width="2.81640625" customWidth="1" style="37" min="2301" max="2301"/>
    <col width="8.90625" customWidth="1" style="37" min="2302" max="2546"/>
    <col width="3.1796875" customWidth="1" style="37" min="2547" max="2547"/>
    <col width="11.36328125" customWidth="1" style="37" min="2548" max="2548"/>
    <col width="10.1796875" customWidth="1" style="37" min="2549" max="2549"/>
    <col width="8.90625" customWidth="1" style="37" min="2550" max="2550"/>
    <col width="9.81640625" customWidth="1" style="37" min="2551" max="2551"/>
    <col width="9.08984375" bestFit="1" customWidth="1" style="37" min="2552" max="2552"/>
    <col width="9.08984375" customWidth="1" style="37" min="2553" max="2553"/>
    <col width="10.453125" bestFit="1" customWidth="1" style="37" min="2554" max="2554"/>
    <col width="10.36328125" customWidth="1" style="37" min="2555" max="2555"/>
    <col width="12.1796875" customWidth="1" style="37" min="2556" max="2556"/>
    <col width="2.81640625" customWidth="1" style="37" min="2557" max="2557"/>
    <col width="8.90625" customWidth="1" style="37" min="2558" max="2802"/>
    <col width="3.1796875" customWidth="1" style="37" min="2803" max="2803"/>
    <col width="11.36328125" customWidth="1" style="37" min="2804" max="2804"/>
    <col width="10.1796875" customWidth="1" style="37" min="2805" max="2805"/>
    <col width="8.90625" customWidth="1" style="37" min="2806" max="2806"/>
    <col width="9.81640625" customWidth="1" style="37" min="2807" max="2807"/>
    <col width="9.08984375" bestFit="1" customWidth="1" style="37" min="2808" max="2808"/>
    <col width="9.08984375" customWidth="1" style="37" min="2809" max="2809"/>
    <col width="10.453125" bestFit="1" customWidth="1" style="37" min="2810" max="2810"/>
    <col width="10.36328125" customWidth="1" style="37" min="2811" max="2811"/>
    <col width="12.1796875" customWidth="1" style="37" min="2812" max="2812"/>
    <col width="2.81640625" customWidth="1" style="37" min="2813" max="2813"/>
    <col width="8.90625" customWidth="1" style="37" min="2814" max="3058"/>
    <col width="3.1796875" customWidth="1" style="37" min="3059" max="3059"/>
    <col width="11.36328125" customWidth="1" style="37" min="3060" max="3060"/>
    <col width="10.1796875" customWidth="1" style="37" min="3061" max="3061"/>
    <col width="8.90625" customWidth="1" style="37" min="3062" max="3062"/>
    <col width="9.81640625" customWidth="1" style="37" min="3063" max="3063"/>
    <col width="9.08984375" bestFit="1" customWidth="1" style="37" min="3064" max="3064"/>
    <col width="9.08984375" customWidth="1" style="37" min="3065" max="3065"/>
    <col width="10.453125" bestFit="1" customWidth="1" style="37" min="3066" max="3066"/>
    <col width="10.36328125" customWidth="1" style="37" min="3067" max="3067"/>
    <col width="12.1796875" customWidth="1" style="37" min="3068" max="3068"/>
    <col width="2.81640625" customWidth="1" style="37" min="3069" max="3069"/>
    <col width="8.90625" customWidth="1" style="37" min="3070" max="3314"/>
    <col width="3.1796875" customWidth="1" style="37" min="3315" max="3315"/>
    <col width="11.36328125" customWidth="1" style="37" min="3316" max="3316"/>
    <col width="10.1796875" customWidth="1" style="37" min="3317" max="3317"/>
    <col width="8.90625" customWidth="1" style="37" min="3318" max="3318"/>
    <col width="9.81640625" customWidth="1" style="37" min="3319" max="3319"/>
    <col width="9.08984375" bestFit="1" customWidth="1" style="37" min="3320" max="3320"/>
    <col width="9.08984375" customWidth="1" style="37" min="3321" max="3321"/>
    <col width="10.453125" bestFit="1" customWidth="1" style="37" min="3322" max="3322"/>
    <col width="10.36328125" customWidth="1" style="37" min="3323" max="3323"/>
    <col width="12.1796875" customWidth="1" style="37" min="3324" max="3324"/>
    <col width="2.81640625" customWidth="1" style="37" min="3325" max="3325"/>
    <col width="8.90625" customWidth="1" style="37" min="3326" max="3570"/>
    <col width="3.1796875" customWidth="1" style="37" min="3571" max="3571"/>
    <col width="11.36328125" customWidth="1" style="37" min="3572" max="3572"/>
    <col width="10.1796875" customWidth="1" style="37" min="3573" max="3573"/>
    <col width="8.90625" customWidth="1" style="37" min="3574" max="3574"/>
    <col width="9.81640625" customWidth="1" style="37" min="3575" max="3575"/>
    <col width="9.08984375" bestFit="1" customWidth="1" style="37" min="3576" max="3576"/>
    <col width="9.08984375" customWidth="1" style="37" min="3577" max="3577"/>
    <col width="10.453125" bestFit="1" customWidth="1" style="37" min="3578" max="3578"/>
    <col width="10.36328125" customWidth="1" style="37" min="3579" max="3579"/>
    <col width="12.1796875" customWidth="1" style="37" min="3580" max="3580"/>
    <col width="2.81640625" customWidth="1" style="37" min="3581" max="3581"/>
    <col width="8.90625" customWidth="1" style="37" min="3582" max="3826"/>
    <col width="3.1796875" customWidth="1" style="37" min="3827" max="3827"/>
    <col width="11.36328125" customWidth="1" style="37" min="3828" max="3828"/>
    <col width="10.1796875" customWidth="1" style="37" min="3829" max="3829"/>
    <col width="8.90625" customWidth="1" style="37" min="3830" max="3830"/>
    <col width="9.81640625" customWidth="1" style="37" min="3831" max="3831"/>
    <col width="9.08984375" bestFit="1" customWidth="1" style="37" min="3832" max="3832"/>
    <col width="9.08984375" customWidth="1" style="37" min="3833" max="3833"/>
    <col width="10.453125" bestFit="1" customWidth="1" style="37" min="3834" max="3834"/>
    <col width="10.36328125" customWidth="1" style="37" min="3835" max="3835"/>
    <col width="12.1796875" customWidth="1" style="37" min="3836" max="3836"/>
    <col width="2.81640625" customWidth="1" style="37" min="3837" max="3837"/>
    <col width="8.90625" customWidth="1" style="37" min="3838" max="4082"/>
    <col width="3.1796875" customWidth="1" style="37" min="4083" max="4083"/>
    <col width="11.36328125" customWidth="1" style="37" min="4084" max="4084"/>
    <col width="10.1796875" customWidth="1" style="37" min="4085" max="4085"/>
    <col width="8.90625" customWidth="1" style="37" min="4086" max="4086"/>
    <col width="9.81640625" customWidth="1" style="37" min="4087" max="4087"/>
    <col width="9.08984375" bestFit="1" customWidth="1" style="37" min="4088" max="4088"/>
    <col width="9.08984375" customWidth="1" style="37" min="4089" max="4089"/>
    <col width="10.453125" bestFit="1" customWidth="1" style="37" min="4090" max="4090"/>
    <col width="10.36328125" customWidth="1" style="37" min="4091" max="4091"/>
    <col width="12.1796875" customWidth="1" style="37" min="4092" max="4092"/>
    <col width="2.81640625" customWidth="1" style="37" min="4093" max="4093"/>
    <col width="8.90625" customWidth="1" style="37" min="4094" max="4338"/>
    <col width="3.1796875" customWidth="1" style="37" min="4339" max="4339"/>
    <col width="11.36328125" customWidth="1" style="37" min="4340" max="4340"/>
    <col width="10.1796875" customWidth="1" style="37" min="4341" max="4341"/>
    <col width="8.90625" customWidth="1" style="37" min="4342" max="4342"/>
    <col width="9.81640625" customWidth="1" style="37" min="4343" max="4343"/>
    <col width="9.08984375" bestFit="1" customWidth="1" style="37" min="4344" max="4344"/>
    <col width="9.08984375" customWidth="1" style="37" min="4345" max="4345"/>
    <col width="10.453125" bestFit="1" customWidth="1" style="37" min="4346" max="4346"/>
    <col width="10.36328125" customWidth="1" style="37" min="4347" max="4347"/>
    <col width="12.1796875" customWidth="1" style="37" min="4348" max="4348"/>
    <col width="2.81640625" customWidth="1" style="37" min="4349" max="4349"/>
    <col width="8.90625" customWidth="1" style="37" min="4350" max="4594"/>
    <col width="3.1796875" customWidth="1" style="37" min="4595" max="4595"/>
    <col width="11.36328125" customWidth="1" style="37" min="4596" max="4596"/>
    <col width="10.1796875" customWidth="1" style="37" min="4597" max="4597"/>
    <col width="8.90625" customWidth="1" style="37" min="4598" max="4598"/>
    <col width="9.81640625" customWidth="1" style="37" min="4599" max="4599"/>
    <col width="9.08984375" bestFit="1" customWidth="1" style="37" min="4600" max="4600"/>
    <col width="9.08984375" customWidth="1" style="37" min="4601" max="4601"/>
    <col width="10.453125" bestFit="1" customWidth="1" style="37" min="4602" max="4602"/>
    <col width="10.36328125" customWidth="1" style="37" min="4603" max="4603"/>
    <col width="12.1796875" customWidth="1" style="37" min="4604" max="4604"/>
    <col width="2.81640625" customWidth="1" style="37" min="4605" max="4605"/>
    <col width="8.90625" customWidth="1" style="37" min="4606" max="4850"/>
    <col width="3.1796875" customWidth="1" style="37" min="4851" max="4851"/>
    <col width="11.36328125" customWidth="1" style="37" min="4852" max="4852"/>
    <col width="10.1796875" customWidth="1" style="37" min="4853" max="4853"/>
    <col width="8.90625" customWidth="1" style="37" min="4854" max="4854"/>
    <col width="9.81640625" customWidth="1" style="37" min="4855" max="4855"/>
    <col width="9.08984375" bestFit="1" customWidth="1" style="37" min="4856" max="4856"/>
    <col width="9.08984375" customWidth="1" style="37" min="4857" max="4857"/>
    <col width="10.453125" bestFit="1" customWidth="1" style="37" min="4858" max="4858"/>
    <col width="10.36328125" customWidth="1" style="37" min="4859" max="4859"/>
    <col width="12.1796875" customWidth="1" style="37" min="4860" max="4860"/>
    <col width="2.81640625" customWidth="1" style="37" min="4861" max="4861"/>
    <col width="8.90625" customWidth="1" style="37" min="4862" max="5106"/>
    <col width="3.1796875" customWidth="1" style="37" min="5107" max="5107"/>
    <col width="11.36328125" customWidth="1" style="37" min="5108" max="5108"/>
    <col width="10.1796875" customWidth="1" style="37" min="5109" max="5109"/>
    <col width="8.90625" customWidth="1" style="37" min="5110" max="5110"/>
    <col width="9.81640625" customWidth="1" style="37" min="5111" max="5111"/>
    <col width="9.08984375" bestFit="1" customWidth="1" style="37" min="5112" max="5112"/>
    <col width="9.08984375" customWidth="1" style="37" min="5113" max="5113"/>
    <col width="10.453125" bestFit="1" customWidth="1" style="37" min="5114" max="5114"/>
    <col width="10.36328125" customWidth="1" style="37" min="5115" max="5115"/>
    <col width="12.1796875" customWidth="1" style="37" min="5116" max="5116"/>
    <col width="2.81640625" customWidth="1" style="37" min="5117" max="5117"/>
    <col width="8.90625" customWidth="1" style="37" min="5118" max="5362"/>
    <col width="3.1796875" customWidth="1" style="37" min="5363" max="5363"/>
    <col width="11.36328125" customWidth="1" style="37" min="5364" max="5364"/>
    <col width="10.1796875" customWidth="1" style="37" min="5365" max="5365"/>
    <col width="8.90625" customWidth="1" style="37" min="5366" max="5366"/>
    <col width="9.81640625" customWidth="1" style="37" min="5367" max="5367"/>
    <col width="9.08984375" bestFit="1" customWidth="1" style="37" min="5368" max="5368"/>
    <col width="9.08984375" customWidth="1" style="37" min="5369" max="5369"/>
    <col width="10.453125" bestFit="1" customWidth="1" style="37" min="5370" max="5370"/>
    <col width="10.36328125" customWidth="1" style="37" min="5371" max="5371"/>
    <col width="12.1796875" customWidth="1" style="37" min="5372" max="5372"/>
    <col width="2.81640625" customWidth="1" style="37" min="5373" max="5373"/>
    <col width="8.90625" customWidth="1" style="37" min="5374" max="5618"/>
    <col width="3.1796875" customWidth="1" style="37" min="5619" max="5619"/>
    <col width="11.36328125" customWidth="1" style="37" min="5620" max="5620"/>
    <col width="10.1796875" customWidth="1" style="37" min="5621" max="5621"/>
    <col width="8.90625" customWidth="1" style="37" min="5622" max="5622"/>
    <col width="9.81640625" customWidth="1" style="37" min="5623" max="5623"/>
    <col width="9.08984375" bestFit="1" customWidth="1" style="37" min="5624" max="5624"/>
    <col width="9.08984375" customWidth="1" style="37" min="5625" max="5625"/>
    <col width="10.453125" bestFit="1" customWidth="1" style="37" min="5626" max="5626"/>
    <col width="10.36328125" customWidth="1" style="37" min="5627" max="5627"/>
    <col width="12.1796875" customWidth="1" style="37" min="5628" max="5628"/>
    <col width="2.81640625" customWidth="1" style="37" min="5629" max="5629"/>
    <col width="8.90625" customWidth="1" style="37" min="5630" max="5874"/>
    <col width="3.1796875" customWidth="1" style="37" min="5875" max="5875"/>
    <col width="11.36328125" customWidth="1" style="37" min="5876" max="5876"/>
    <col width="10.1796875" customWidth="1" style="37" min="5877" max="5877"/>
    <col width="8.90625" customWidth="1" style="37" min="5878" max="5878"/>
    <col width="9.81640625" customWidth="1" style="37" min="5879" max="5879"/>
    <col width="9.08984375" bestFit="1" customWidth="1" style="37" min="5880" max="5880"/>
    <col width="9.08984375" customWidth="1" style="37" min="5881" max="5881"/>
    <col width="10.453125" bestFit="1" customWidth="1" style="37" min="5882" max="5882"/>
    <col width="10.36328125" customWidth="1" style="37" min="5883" max="5883"/>
    <col width="12.1796875" customWidth="1" style="37" min="5884" max="5884"/>
    <col width="2.81640625" customWidth="1" style="37" min="5885" max="5885"/>
    <col width="8.90625" customWidth="1" style="37" min="5886" max="6130"/>
    <col width="3.1796875" customWidth="1" style="37" min="6131" max="6131"/>
    <col width="11.36328125" customWidth="1" style="37" min="6132" max="6132"/>
    <col width="10.1796875" customWidth="1" style="37" min="6133" max="6133"/>
    <col width="8.90625" customWidth="1" style="37" min="6134" max="6134"/>
    <col width="9.81640625" customWidth="1" style="37" min="6135" max="6135"/>
    <col width="9.08984375" bestFit="1" customWidth="1" style="37" min="6136" max="6136"/>
    <col width="9.08984375" customWidth="1" style="37" min="6137" max="6137"/>
    <col width="10.453125" bestFit="1" customWidth="1" style="37" min="6138" max="6138"/>
    <col width="10.36328125" customWidth="1" style="37" min="6139" max="6139"/>
    <col width="12.1796875" customWidth="1" style="37" min="6140" max="6140"/>
    <col width="2.81640625" customWidth="1" style="37" min="6141" max="6141"/>
    <col width="8.90625" customWidth="1" style="37" min="6142" max="6386"/>
    <col width="3.1796875" customWidth="1" style="37" min="6387" max="6387"/>
    <col width="11.36328125" customWidth="1" style="37" min="6388" max="6388"/>
    <col width="10.1796875" customWidth="1" style="37" min="6389" max="6389"/>
    <col width="8.90625" customWidth="1" style="37" min="6390" max="6390"/>
    <col width="9.81640625" customWidth="1" style="37" min="6391" max="6391"/>
    <col width="9.08984375" bestFit="1" customWidth="1" style="37" min="6392" max="6392"/>
    <col width="9.08984375" customWidth="1" style="37" min="6393" max="6393"/>
    <col width="10.453125" bestFit="1" customWidth="1" style="37" min="6394" max="6394"/>
    <col width="10.36328125" customWidth="1" style="37" min="6395" max="6395"/>
    <col width="12.1796875" customWidth="1" style="37" min="6396" max="6396"/>
    <col width="2.81640625" customWidth="1" style="37" min="6397" max="6397"/>
    <col width="8.90625" customWidth="1" style="37" min="6398" max="6642"/>
    <col width="3.1796875" customWidth="1" style="37" min="6643" max="6643"/>
    <col width="11.36328125" customWidth="1" style="37" min="6644" max="6644"/>
    <col width="10.1796875" customWidth="1" style="37" min="6645" max="6645"/>
    <col width="8.90625" customWidth="1" style="37" min="6646" max="6646"/>
    <col width="9.81640625" customWidth="1" style="37" min="6647" max="6647"/>
    <col width="9.08984375" bestFit="1" customWidth="1" style="37" min="6648" max="6648"/>
    <col width="9.08984375" customWidth="1" style="37" min="6649" max="6649"/>
    <col width="10.453125" bestFit="1" customWidth="1" style="37" min="6650" max="6650"/>
    <col width="10.36328125" customWidth="1" style="37" min="6651" max="6651"/>
    <col width="12.1796875" customWidth="1" style="37" min="6652" max="6652"/>
    <col width="2.81640625" customWidth="1" style="37" min="6653" max="6653"/>
    <col width="8.90625" customWidth="1" style="37" min="6654" max="6898"/>
    <col width="3.1796875" customWidth="1" style="37" min="6899" max="6899"/>
    <col width="11.36328125" customWidth="1" style="37" min="6900" max="6900"/>
    <col width="10.1796875" customWidth="1" style="37" min="6901" max="6901"/>
    <col width="8.90625" customWidth="1" style="37" min="6902" max="6902"/>
    <col width="9.81640625" customWidth="1" style="37" min="6903" max="6903"/>
    <col width="9.08984375" bestFit="1" customWidth="1" style="37" min="6904" max="6904"/>
    <col width="9.08984375" customWidth="1" style="37" min="6905" max="6905"/>
    <col width="10.453125" bestFit="1" customWidth="1" style="37" min="6906" max="6906"/>
    <col width="10.36328125" customWidth="1" style="37" min="6907" max="6907"/>
    <col width="12.1796875" customWidth="1" style="37" min="6908" max="6908"/>
    <col width="2.81640625" customWidth="1" style="37" min="6909" max="6909"/>
    <col width="8.90625" customWidth="1" style="37" min="6910" max="7154"/>
    <col width="3.1796875" customWidth="1" style="37" min="7155" max="7155"/>
    <col width="11.36328125" customWidth="1" style="37" min="7156" max="7156"/>
    <col width="10.1796875" customWidth="1" style="37" min="7157" max="7157"/>
    <col width="8.90625" customWidth="1" style="37" min="7158" max="7158"/>
    <col width="9.81640625" customWidth="1" style="37" min="7159" max="7159"/>
    <col width="9.08984375" bestFit="1" customWidth="1" style="37" min="7160" max="7160"/>
    <col width="9.08984375" customWidth="1" style="37" min="7161" max="7161"/>
    <col width="10.453125" bestFit="1" customWidth="1" style="37" min="7162" max="7162"/>
    <col width="10.36328125" customWidth="1" style="37" min="7163" max="7163"/>
    <col width="12.1796875" customWidth="1" style="37" min="7164" max="7164"/>
    <col width="2.81640625" customWidth="1" style="37" min="7165" max="7165"/>
    <col width="8.90625" customWidth="1" style="37" min="7166" max="7410"/>
    <col width="3.1796875" customWidth="1" style="37" min="7411" max="7411"/>
    <col width="11.36328125" customWidth="1" style="37" min="7412" max="7412"/>
    <col width="10.1796875" customWidth="1" style="37" min="7413" max="7413"/>
    <col width="8.90625" customWidth="1" style="37" min="7414" max="7414"/>
    <col width="9.81640625" customWidth="1" style="37" min="7415" max="7415"/>
    <col width="9.08984375" bestFit="1" customWidth="1" style="37" min="7416" max="7416"/>
    <col width="9.08984375" customWidth="1" style="37" min="7417" max="7417"/>
    <col width="10.453125" bestFit="1" customWidth="1" style="37" min="7418" max="7418"/>
    <col width="10.36328125" customWidth="1" style="37" min="7419" max="7419"/>
    <col width="12.1796875" customWidth="1" style="37" min="7420" max="7420"/>
    <col width="2.81640625" customWidth="1" style="37" min="7421" max="7421"/>
    <col width="8.90625" customWidth="1" style="37" min="7422" max="7666"/>
    <col width="3.1796875" customWidth="1" style="37" min="7667" max="7667"/>
    <col width="11.36328125" customWidth="1" style="37" min="7668" max="7668"/>
    <col width="10.1796875" customWidth="1" style="37" min="7669" max="7669"/>
    <col width="8.90625" customWidth="1" style="37" min="7670" max="7670"/>
    <col width="9.81640625" customWidth="1" style="37" min="7671" max="7671"/>
    <col width="9.08984375" bestFit="1" customWidth="1" style="37" min="7672" max="7672"/>
    <col width="9.08984375" customWidth="1" style="37" min="7673" max="7673"/>
    <col width="10.453125" bestFit="1" customWidth="1" style="37" min="7674" max="7674"/>
    <col width="10.36328125" customWidth="1" style="37" min="7675" max="7675"/>
    <col width="12.1796875" customWidth="1" style="37" min="7676" max="7676"/>
    <col width="2.81640625" customWidth="1" style="37" min="7677" max="7677"/>
    <col width="8.90625" customWidth="1" style="37" min="7678" max="7922"/>
    <col width="3.1796875" customWidth="1" style="37" min="7923" max="7923"/>
    <col width="11.36328125" customWidth="1" style="37" min="7924" max="7924"/>
    <col width="10.1796875" customWidth="1" style="37" min="7925" max="7925"/>
    <col width="8.90625" customWidth="1" style="37" min="7926" max="7926"/>
    <col width="9.81640625" customWidth="1" style="37" min="7927" max="7927"/>
    <col width="9.08984375" bestFit="1" customWidth="1" style="37" min="7928" max="7928"/>
    <col width="9.08984375" customWidth="1" style="37" min="7929" max="7929"/>
    <col width="10.453125" bestFit="1" customWidth="1" style="37" min="7930" max="7930"/>
    <col width="10.36328125" customWidth="1" style="37" min="7931" max="7931"/>
    <col width="12.1796875" customWidth="1" style="37" min="7932" max="7932"/>
    <col width="2.81640625" customWidth="1" style="37" min="7933" max="7933"/>
    <col width="8.90625" customWidth="1" style="37" min="7934" max="8178"/>
    <col width="3.1796875" customWidth="1" style="37" min="8179" max="8179"/>
    <col width="11.36328125" customWidth="1" style="37" min="8180" max="8180"/>
    <col width="10.1796875" customWidth="1" style="37" min="8181" max="8181"/>
    <col width="8.90625" customWidth="1" style="37" min="8182" max="8182"/>
    <col width="9.81640625" customWidth="1" style="37" min="8183" max="8183"/>
    <col width="9.08984375" bestFit="1" customWidth="1" style="37" min="8184" max="8184"/>
    <col width="9.08984375" customWidth="1" style="37" min="8185" max="8185"/>
    <col width="10.453125" bestFit="1" customWidth="1" style="37" min="8186" max="8186"/>
    <col width="10.36328125" customWidth="1" style="37" min="8187" max="8187"/>
    <col width="12.1796875" customWidth="1" style="37" min="8188" max="8188"/>
    <col width="2.81640625" customWidth="1" style="37" min="8189" max="8189"/>
    <col width="8.90625" customWidth="1" style="37" min="8190" max="8434"/>
    <col width="3.1796875" customWidth="1" style="37" min="8435" max="8435"/>
    <col width="11.36328125" customWidth="1" style="37" min="8436" max="8436"/>
    <col width="10.1796875" customWidth="1" style="37" min="8437" max="8437"/>
    <col width="8.90625" customWidth="1" style="37" min="8438" max="8438"/>
    <col width="9.81640625" customWidth="1" style="37" min="8439" max="8439"/>
    <col width="9.08984375" bestFit="1" customWidth="1" style="37" min="8440" max="8440"/>
    <col width="9.08984375" customWidth="1" style="37" min="8441" max="8441"/>
    <col width="10.453125" bestFit="1" customWidth="1" style="37" min="8442" max="8442"/>
    <col width="10.36328125" customWidth="1" style="37" min="8443" max="8443"/>
    <col width="12.1796875" customWidth="1" style="37" min="8444" max="8444"/>
    <col width="2.81640625" customWidth="1" style="37" min="8445" max="8445"/>
    <col width="8.90625" customWidth="1" style="37" min="8446" max="8690"/>
    <col width="3.1796875" customWidth="1" style="37" min="8691" max="8691"/>
    <col width="11.36328125" customWidth="1" style="37" min="8692" max="8692"/>
    <col width="10.1796875" customWidth="1" style="37" min="8693" max="8693"/>
    <col width="8.90625" customWidth="1" style="37" min="8694" max="8694"/>
    <col width="9.81640625" customWidth="1" style="37" min="8695" max="8695"/>
    <col width="9.08984375" bestFit="1" customWidth="1" style="37" min="8696" max="8696"/>
    <col width="9.08984375" customWidth="1" style="37" min="8697" max="8697"/>
    <col width="10.453125" bestFit="1" customWidth="1" style="37" min="8698" max="8698"/>
    <col width="10.36328125" customWidth="1" style="37" min="8699" max="8699"/>
    <col width="12.1796875" customWidth="1" style="37" min="8700" max="8700"/>
    <col width="2.81640625" customWidth="1" style="37" min="8701" max="8701"/>
    <col width="8.90625" customWidth="1" style="37" min="8702" max="8946"/>
    <col width="3.1796875" customWidth="1" style="37" min="8947" max="8947"/>
    <col width="11.36328125" customWidth="1" style="37" min="8948" max="8948"/>
    <col width="10.1796875" customWidth="1" style="37" min="8949" max="8949"/>
    <col width="8.90625" customWidth="1" style="37" min="8950" max="8950"/>
    <col width="9.81640625" customWidth="1" style="37" min="8951" max="8951"/>
    <col width="9.08984375" bestFit="1" customWidth="1" style="37" min="8952" max="8952"/>
    <col width="9.08984375" customWidth="1" style="37" min="8953" max="8953"/>
    <col width="10.453125" bestFit="1" customWidth="1" style="37" min="8954" max="8954"/>
    <col width="10.36328125" customWidth="1" style="37" min="8955" max="8955"/>
    <col width="12.1796875" customWidth="1" style="37" min="8956" max="8956"/>
    <col width="2.81640625" customWidth="1" style="37" min="8957" max="8957"/>
    <col width="8.90625" customWidth="1" style="37" min="8958" max="9202"/>
    <col width="3.1796875" customWidth="1" style="37" min="9203" max="9203"/>
    <col width="11.36328125" customWidth="1" style="37" min="9204" max="9204"/>
    <col width="10.1796875" customWidth="1" style="37" min="9205" max="9205"/>
    <col width="8.90625" customWidth="1" style="37" min="9206" max="9206"/>
    <col width="9.81640625" customWidth="1" style="37" min="9207" max="9207"/>
    <col width="9.08984375" bestFit="1" customWidth="1" style="37" min="9208" max="9208"/>
    <col width="9.08984375" customWidth="1" style="37" min="9209" max="9209"/>
    <col width="10.453125" bestFit="1" customWidth="1" style="37" min="9210" max="9210"/>
    <col width="10.36328125" customWidth="1" style="37" min="9211" max="9211"/>
    <col width="12.1796875" customWidth="1" style="37" min="9212" max="9212"/>
    <col width="2.81640625" customWidth="1" style="37" min="9213" max="9213"/>
    <col width="8.90625" customWidth="1" style="37" min="9214" max="9458"/>
    <col width="3.1796875" customWidth="1" style="37" min="9459" max="9459"/>
    <col width="11.36328125" customWidth="1" style="37" min="9460" max="9460"/>
    <col width="10.1796875" customWidth="1" style="37" min="9461" max="9461"/>
    <col width="8.90625" customWidth="1" style="37" min="9462" max="9462"/>
    <col width="9.81640625" customWidth="1" style="37" min="9463" max="9463"/>
    <col width="9.08984375" bestFit="1" customWidth="1" style="37" min="9464" max="9464"/>
    <col width="9.08984375" customWidth="1" style="37" min="9465" max="9465"/>
    <col width="10.453125" bestFit="1" customWidth="1" style="37" min="9466" max="9466"/>
    <col width="10.36328125" customWidth="1" style="37" min="9467" max="9467"/>
    <col width="12.1796875" customWidth="1" style="37" min="9468" max="9468"/>
    <col width="2.81640625" customWidth="1" style="37" min="9469" max="9469"/>
    <col width="8.90625" customWidth="1" style="37" min="9470" max="9714"/>
    <col width="3.1796875" customWidth="1" style="37" min="9715" max="9715"/>
    <col width="11.36328125" customWidth="1" style="37" min="9716" max="9716"/>
    <col width="10.1796875" customWidth="1" style="37" min="9717" max="9717"/>
    <col width="8.90625" customWidth="1" style="37" min="9718" max="9718"/>
    <col width="9.81640625" customWidth="1" style="37" min="9719" max="9719"/>
    <col width="9.08984375" bestFit="1" customWidth="1" style="37" min="9720" max="9720"/>
    <col width="9.08984375" customWidth="1" style="37" min="9721" max="9721"/>
    <col width="10.453125" bestFit="1" customWidth="1" style="37" min="9722" max="9722"/>
    <col width="10.36328125" customWidth="1" style="37" min="9723" max="9723"/>
    <col width="12.1796875" customWidth="1" style="37" min="9724" max="9724"/>
    <col width="2.81640625" customWidth="1" style="37" min="9725" max="9725"/>
    <col width="8.90625" customWidth="1" style="37" min="9726" max="9970"/>
    <col width="3.1796875" customWidth="1" style="37" min="9971" max="9971"/>
    <col width="11.36328125" customWidth="1" style="37" min="9972" max="9972"/>
    <col width="10.1796875" customWidth="1" style="37" min="9973" max="9973"/>
    <col width="8.90625" customWidth="1" style="37" min="9974" max="9974"/>
    <col width="9.81640625" customWidth="1" style="37" min="9975" max="9975"/>
    <col width="9.08984375" bestFit="1" customWidth="1" style="37" min="9976" max="9976"/>
    <col width="9.08984375" customWidth="1" style="37" min="9977" max="9977"/>
    <col width="10.453125" bestFit="1" customWidth="1" style="37" min="9978" max="9978"/>
    <col width="10.36328125" customWidth="1" style="37" min="9979" max="9979"/>
    <col width="12.1796875" customWidth="1" style="37" min="9980" max="9980"/>
    <col width="2.81640625" customWidth="1" style="37" min="9981" max="9981"/>
    <col width="8.90625" customWidth="1" style="37" min="9982" max="10226"/>
    <col width="3.1796875" customWidth="1" style="37" min="10227" max="10227"/>
    <col width="11.36328125" customWidth="1" style="37" min="10228" max="10228"/>
    <col width="10.1796875" customWidth="1" style="37" min="10229" max="10229"/>
    <col width="8.90625" customWidth="1" style="37" min="10230" max="10230"/>
    <col width="9.81640625" customWidth="1" style="37" min="10231" max="10231"/>
    <col width="9.08984375" bestFit="1" customWidth="1" style="37" min="10232" max="10232"/>
    <col width="9.08984375" customWidth="1" style="37" min="10233" max="10233"/>
    <col width="10.453125" bestFit="1" customWidth="1" style="37" min="10234" max="10234"/>
    <col width="10.36328125" customWidth="1" style="37" min="10235" max="10235"/>
    <col width="12.1796875" customWidth="1" style="37" min="10236" max="10236"/>
    <col width="2.81640625" customWidth="1" style="37" min="10237" max="10237"/>
    <col width="8.90625" customWidth="1" style="37" min="10238" max="10482"/>
    <col width="3.1796875" customWidth="1" style="37" min="10483" max="10483"/>
    <col width="11.36328125" customWidth="1" style="37" min="10484" max="10484"/>
    <col width="10.1796875" customWidth="1" style="37" min="10485" max="10485"/>
    <col width="8.90625" customWidth="1" style="37" min="10486" max="10486"/>
    <col width="9.81640625" customWidth="1" style="37" min="10487" max="10487"/>
    <col width="9.08984375" bestFit="1" customWidth="1" style="37" min="10488" max="10488"/>
    <col width="9.08984375" customWidth="1" style="37" min="10489" max="10489"/>
    <col width="10.453125" bestFit="1" customWidth="1" style="37" min="10490" max="10490"/>
    <col width="10.36328125" customWidth="1" style="37" min="10491" max="10491"/>
    <col width="12.1796875" customWidth="1" style="37" min="10492" max="10492"/>
    <col width="2.81640625" customWidth="1" style="37" min="10493" max="10493"/>
    <col width="8.90625" customWidth="1" style="37" min="10494" max="10738"/>
    <col width="3.1796875" customWidth="1" style="37" min="10739" max="10739"/>
    <col width="11.36328125" customWidth="1" style="37" min="10740" max="10740"/>
    <col width="10.1796875" customWidth="1" style="37" min="10741" max="10741"/>
    <col width="8.90625" customWidth="1" style="37" min="10742" max="10742"/>
    <col width="9.81640625" customWidth="1" style="37" min="10743" max="10743"/>
    <col width="9.08984375" bestFit="1" customWidth="1" style="37" min="10744" max="10744"/>
    <col width="9.08984375" customWidth="1" style="37" min="10745" max="10745"/>
    <col width="10.453125" bestFit="1" customWidth="1" style="37" min="10746" max="10746"/>
    <col width="10.36328125" customWidth="1" style="37" min="10747" max="10747"/>
    <col width="12.1796875" customWidth="1" style="37" min="10748" max="10748"/>
    <col width="2.81640625" customWidth="1" style="37" min="10749" max="10749"/>
    <col width="8.90625" customWidth="1" style="37" min="10750" max="10994"/>
    <col width="3.1796875" customWidth="1" style="37" min="10995" max="10995"/>
    <col width="11.36328125" customWidth="1" style="37" min="10996" max="10996"/>
    <col width="10.1796875" customWidth="1" style="37" min="10997" max="10997"/>
    <col width="8.90625" customWidth="1" style="37" min="10998" max="10998"/>
    <col width="9.81640625" customWidth="1" style="37" min="10999" max="10999"/>
    <col width="9.08984375" bestFit="1" customWidth="1" style="37" min="11000" max="11000"/>
    <col width="9.08984375" customWidth="1" style="37" min="11001" max="11001"/>
    <col width="10.453125" bestFit="1" customWidth="1" style="37" min="11002" max="11002"/>
    <col width="10.36328125" customWidth="1" style="37" min="11003" max="11003"/>
    <col width="12.1796875" customWidth="1" style="37" min="11004" max="11004"/>
    <col width="2.81640625" customWidth="1" style="37" min="11005" max="11005"/>
    <col width="8.90625" customWidth="1" style="37" min="11006" max="11250"/>
    <col width="3.1796875" customWidth="1" style="37" min="11251" max="11251"/>
    <col width="11.36328125" customWidth="1" style="37" min="11252" max="11252"/>
    <col width="10.1796875" customWidth="1" style="37" min="11253" max="11253"/>
    <col width="8.90625" customWidth="1" style="37" min="11254" max="11254"/>
    <col width="9.81640625" customWidth="1" style="37" min="11255" max="11255"/>
    <col width="9.08984375" bestFit="1" customWidth="1" style="37" min="11256" max="11256"/>
    <col width="9.08984375" customWidth="1" style="37" min="11257" max="11257"/>
    <col width="10.453125" bestFit="1" customWidth="1" style="37" min="11258" max="11258"/>
    <col width="10.36328125" customWidth="1" style="37" min="11259" max="11259"/>
    <col width="12.1796875" customWidth="1" style="37" min="11260" max="11260"/>
    <col width="2.81640625" customWidth="1" style="37" min="11261" max="11261"/>
    <col width="8.90625" customWidth="1" style="37" min="11262" max="11506"/>
    <col width="3.1796875" customWidth="1" style="37" min="11507" max="11507"/>
    <col width="11.36328125" customWidth="1" style="37" min="11508" max="11508"/>
    <col width="10.1796875" customWidth="1" style="37" min="11509" max="11509"/>
    <col width="8.90625" customWidth="1" style="37" min="11510" max="11510"/>
    <col width="9.81640625" customWidth="1" style="37" min="11511" max="11511"/>
    <col width="9.08984375" bestFit="1" customWidth="1" style="37" min="11512" max="11512"/>
    <col width="9.08984375" customWidth="1" style="37" min="11513" max="11513"/>
    <col width="10.453125" bestFit="1" customWidth="1" style="37" min="11514" max="11514"/>
    <col width="10.36328125" customWidth="1" style="37" min="11515" max="11515"/>
    <col width="12.1796875" customWidth="1" style="37" min="11516" max="11516"/>
    <col width="2.81640625" customWidth="1" style="37" min="11517" max="11517"/>
    <col width="8.90625" customWidth="1" style="37" min="11518" max="11762"/>
    <col width="3.1796875" customWidth="1" style="37" min="11763" max="11763"/>
    <col width="11.36328125" customWidth="1" style="37" min="11764" max="11764"/>
    <col width="10.1796875" customWidth="1" style="37" min="11765" max="11765"/>
    <col width="8.90625" customWidth="1" style="37" min="11766" max="11766"/>
    <col width="9.81640625" customWidth="1" style="37" min="11767" max="11767"/>
    <col width="9.08984375" bestFit="1" customWidth="1" style="37" min="11768" max="11768"/>
    <col width="9.08984375" customWidth="1" style="37" min="11769" max="11769"/>
    <col width="10.453125" bestFit="1" customWidth="1" style="37" min="11770" max="11770"/>
    <col width="10.36328125" customWidth="1" style="37" min="11771" max="11771"/>
    <col width="12.1796875" customWidth="1" style="37" min="11772" max="11772"/>
    <col width="2.81640625" customWidth="1" style="37" min="11773" max="11773"/>
    <col width="8.90625" customWidth="1" style="37" min="11774" max="12018"/>
    <col width="3.1796875" customWidth="1" style="37" min="12019" max="12019"/>
    <col width="11.36328125" customWidth="1" style="37" min="12020" max="12020"/>
    <col width="10.1796875" customWidth="1" style="37" min="12021" max="12021"/>
    <col width="8.90625" customWidth="1" style="37" min="12022" max="12022"/>
    <col width="9.81640625" customWidth="1" style="37" min="12023" max="12023"/>
    <col width="9.08984375" bestFit="1" customWidth="1" style="37" min="12024" max="12024"/>
    <col width="9.08984375" customWidth="1" style="37" min="12025" max="12025"/>
    <col width="10.453125" bestFit="1" customWidth="1" style="37" min="12026" max="12026"/>
    <col width="10.36328125" customWidth="1" style="37" min="12027" max="12027"/>
    <col width="12.1796875" customWidth="1" style="37" min="12028" max="12028"/>
    <col width="2.81640625" customWidth="1" style="37" min="12029" max="12029"/>
    <col width="8.90625" customWidth="1" style="37" min="12030" max="12274"/>
    <col width="3.1796875" customWidth="1" style="37" min="12275" max="12275"/>
    <col width="11.36328125" customWidth="1" style="37" min="12276" max="12276"/>
    <col width="10.1796875" customWidth="1" style="37" min="12277" max="12277"/>
    <col width="8.90625" customWidth="1" style="37" min="12278" max="12278"/>
    <col width="9.81640625" customWidth="1" style="37" min="12279" max="12279"/>
    <col width="9.08984375" bestFit="1" customWidth="1" style="37" min="12280" max="12280"/>
    <col width="9.08984375" customWidth="1" style="37" min="12281" max="12281"/>
    <col width="10.453125" bestFit="1" customWidth="1" style="37" min="12282" max="12282"/>
    <col width="10.36328125" customWidth="1" style="37" min="12283" max="12283"/>
    <col width="12.1796875" customWidth="1" style="37" min="12284" max="12284"/>
    <col width="2.81640625" customWidth="1" style="37" min="12285" max="12285"/>
    <col width="8.90625" customWidth="1" style="37" min="12286" max="12530"/>
    <col width="3.1796875" customWidth="1" style="37" min="12531" max="12531"/>
    <col width="11.36328125" customWidth="1" style="37" min="12532" max="12532"/>
    <col width="10.1796875" customWidth="1" style="37" min="12533" max="12533"/>
    <col width="8.90625" customWidth="1" style="37" min="12534" max="12534"/>
    <col width="9.81640625" customWidth="1" style="37" min="12535" max="12535"/>
    <col width="9.08984375" bestFit="1" customWidth="1" style="37" min="12536" max="12536"/>
    <col width="9.08984375" customWidth="1" style="37" min="12537" max="12537"/>
    <col width="10.453125" bestFit="1" customWidth="1" style="37" min="12538" max="12538"/>
    <col width="10.36328125" customWidth="1" style="37" min="12539" max="12539"/>
    <col width="12.1796875" customWidth="1" style="37" min="12540" max="12540"/>
    <col width="2.81640625" customWidth="1" style="37" min="12541" max="12541"/>
    <col width="8.90625" customWidth="1" style="37" min="12542" max="12786"/>
    <col width="3.1796875" customWidth="1" style="37" min="12787" max="12787"/>
    <col width="11.36328125" customWidth="1" style="37" min="12788" max="12788"/>
    <col width="10.1796875" customWidth="1" style="37" min="12789" max="12789"/>
    <col width="8.90625" customWidth="1" style="37" min="12790" max="12790"/>
    <col width="9.81640625" customWidth="1" style="37" min="12791" max="12791"/>
    <col width="9.08984375" bestFit="1" customWidth="1" style="37" min="12792" max="12792"/>
    <col width="9.08984375" customWidth="1" style="37" min="12793" max="12793"/>
    <col width="10.453125" bestFit="1" customWidth="1" style="37" min="12794" max="12794"/>
    <col width="10.36328125" customWidth="1" style="37" min="12795" max="12795"/>
    <col width="12.1796875" customWidth="1" style="37" min="12796" max="12796"/>
    <col width="2.81640625" customWidth="1" style="37" min="12797" max="12797"/>
    <col width="8.90625" customWidth="1" style="37" min="12798" max="13042"/>
    <col width="3.1796875" customWidth="1" style="37" min="13043" max="13043"/>
    <col width="11.36328125" customWidth="1" style="37" min="13044" max="13044"/>
    <col width="10.1796875" customWidth="1" style="37" min="13045" max="13045"/>
    <col width="8.90625" customWidth="1" style="37" min="13046" max="13046"/>
    <col width="9.81640625" customWidth="1" style="37" min="13047" max="13047"/>
    <col width="9.08984375" bestFit="1" customWidth="1" style="37" min="13048" max="13048"/>
    <col width="9.08984375" customWidth="1" style="37" min="13049" max="13049"/>
    <col width="10.453125" bestFit="1" customWidth="1" style="37" min="13050" max="13050"/>
    <col width="10.36328125" customWidth="1" style="37" min="13051" max="13051"/>
    <col width="12.1796875" customWidth="1" style="37" min="13052" max="13052"/>
    <col width="2.81640625" customWidth="1" style="37" min="13053" max="13053"/>
    <col width="8.90625" customWidth="1" style="37" min="13054" max="13298"/>
    <col width="3.1796875" customWidth="1" style="37" min="13299" max="13299"/>
    <col width="11.36328125" customWidth="1" style="37" min="13300" max="13300"/>
    <col width="10.1796875" customWidth="1" style="37" min="13301" max="13301"/>
    <col width="8.90625" customWidth="1" style="37" min="13302" max="13302"/>
    <col width="9.81640625" customWidth="1" style="37" min="13303" max="13303"/>
    <col width="9.08984375" bestFit="1" customWidth="1" style="37" min="13304" max="13304"/>
    <col width="9.08984375" customWidth="1" style="37" min="13305" max="13305"/>
    <col width="10.453125" bestFit="1" customWidth="1" style="37" min="13306" max="13306"/>
    <col width="10.36328125" customWidth="1" style="37" min="13307" max="13307"/>
    <col width="12.1796875" customWidth="1" style="37" min="13308" max="13308"/>
    <col width="2.81640625" customWidth="1" style="37" min="13309" max="13309"/>
    <col width="8.90625" customWidth="1" style="37" min="13310" max="13554"/>
    <col width="3.1796875" customWidth="1" style="37" min="13555" max="13555"/>
    <col width="11.36328125" customWidth="1" style="37" min="13556" max="13556"/>
    <col width="10.1796875" customWidth="1" style="37" min="13557" max="13557"/>
    <col width="8.90625" customWidth="1" style="37" min="13558" max="13558"/>
    <col width="9.81640625" customWidth="1" style="37" min="13559" max="13559"/>
    <col width="9.08984375" bestFit="1" customWidth="1" style="37" min="13560" max="13560"/>
    <col width="9.08984375" customWidth="1" style="37" min="13561" max="13561"/>
    <col width="10.453125" bestFit="1" customWidth="1" style="37" min="13562" max="13562"/>
    <col width="10.36328125" customWidth="1" style="37" min="13563" max="13563"/>
    <col width="12.1796875" customWidth="1" style="37" min="13564" max="13564"/>
    <col width="2.81640625" customWidth="1" style="37" min="13565" max="13565"/>
    <col width="8.90625" customWidth="1" style="37" min="13566" max="13810"/>
    <col width="3.1796875" customWidth="1" style="37" min="13811" max="13811"/>
    <col width="11.36328125" customWidth="1" style="37" min="13812" max="13812"/>
    <col width="10.1796875" customWidth="1" style="37" min="13813" max="13813"/>
    <col width="8.90625" customWidth="1" style="37" min="13814" max="13814"/>
    <col width="9.81640625" customWidth="1" style="37" min="13815" max="13815"/>
    <col width="9.08984375" bestFit="1" customWidth="1" style="37" min="13816" max="13816"/>
    <col width="9.08984375" customWidth="1" style="37" min="13817" max="13817"/>
    <col width="10.453125" bestFit="1" customWidth="1" style="37" min="13818" max="13818"/>
    <col width="10.36328125" customWidth="1" style="37" min="13819" max="13819"/>
    <col width="12.1796875" customWidth="1" style="37" min="13820" max="13820"/>
    <col width="2.81640625" customWidth="1" style="37" min="13821" max="13821"/>
    <col width="8.90625" customWidth="1" style="37" min="13822" max="14066"/>
    <col width="3.1796875" customWidth="1" style="37" min="14067" max="14067"/>
    <col width="11.36328125" customWidth="1" style="37" min="14068" max="14068"/>
    <col width="10.1796875" customWidth="1" style="37" min="14069" max="14069"/>
    <col width="8.90625" customWidth="1" style="37" min="14070" max="14070"/>
    <col width="9.81640625" customWidth="1" style="37" min="14071" max="14071"/>
    <col width="9.08984375" bestFit="1" customWidth="1" style="37" min="14072" max="14072"/>
    <col width="9.08984375" customWidth="1" style="37" min="14073" max="14073"/>
    <col width="10.453125" bestFit="1" customWidth="1" style="37" min="14074" max="14074"/>
    <col width="10.36328125" customWidth="1" style="37" min="14075" max="14075"/>
    <col width="12.1796875" customWidth="1" style="37" min="14076" max="14076"/>
    <col width="2.81640625" customWidth="1" style="37" min="14077" max="14077"/>
    <col width="8.90625" customWidth="1" style="37" min="14078" max="14322"/>
    <col width="3.1796875" customWidth="1" style="37" min="14323" max="14323"/>
    <col width="11.36328125" customWidth="1" style="37" min="14324" max="14324"/>
    <col width="10.1796875" customWidth="1" style="37" min="14325" max="14325"/>
    <col width="8.90625" customWidth="1" style="37" min="14326" max="14326"/>
    <col width="9.81640625" customWidth="1" style="37" min="14327" max="14327"/>
    <col width="9.08984375" bestFit="1" customWidth="1" style="37" min="14328" max="14328"/>
    <col width="9.08984375" customWidth="1" style="37" min="14329" max="14329"/>
    <col width="10.453125" bestFit="1" customWidth="1" style="37" min="14330" max="14330"/>
    <col width="10.36328125" customWidth="1" style="37" min="14331" max="14331"/>
    <col width="12.1796875" customWidth="1" style="37" min="14332" max="14332"/>
    <col width="2.81640625" customWidth="1" style="37" min="14333" max="14333"/>
    <col width="8.90625" customWidth="1" style="37" min="14334" max="14578"/>
    <col width="3.1796875" customWidth="1" style="37" min="14579" max="14579"/>
    <col width="11.36328125" customWidth="1" style="37" min="14580" max="14580"/>
    <col width="10.1796875" customWidth="1" style="37" min="14581" max="14581"/>
    <col width="8.90625" customWidth="1" style="37" min="14582" max="14582"/>
    <col width="9.81640625" customWidth="1" style="37" min="14583" max="14583"/>
    <col width="9.08984375" bestFit="1" customWidth="1" style="37" min="14584" max="14584"/>
    <col width="9.08984375" customWidth="1" style="37" min="14585" max="14585"/>
    <col width="10.453125" bestFit="1" customWidth="1" style="37" min="14586" max="14586"/>
    <col width="10.36328125" customWidth="1" style="37" min="14587" max="14587"/>
    <col width="12.1796875" customWidth="1" style="37" min="14588" max="14588"/>
    <col width="2.81640625" customWidth="1" style="37" min="14589" max="14589"/>
    <col width="8.90625" customWidth="1" style="37" min="14590" max="14834"/>
    <col width="3.1796875" customWidth="1" style="37" min="14835" max="14835"/>
    <col width="11.36328125" customWidth="1" style="37" min="14836" max="14836"/>
    <col width="10.1796875" customWidth="1" style="37" min="14837" max="14837"/>
    <col width="8.90625" customWidth="1" style="37" min="14838" max="14838"/>
    <col width="9.81640625" customWidth="1" style="37" min="14839" max="14839"/>
    <col width="9.08984375" bestFit="1" customWidth="1" style="37" min="14840" max="14840"/>
    <col width="9.08984375" customWidth="1" style="37" min="14841" max="14841"/>
    <col width="10.453125" bestFit="1" customWidth="1" style="37" min="14842" max="14842"/>
    <col width="10.36328125" customWidth="1" style="37" min="14843" max="14843"/>
    <col width="12.1796875" customWidth="1" style="37" min="14844" max="14844"/>
    <col width="2.81640625" customWidth="1" style="37" min="14845" max="14845"/>
    <col width="8.90625" customWidth="1" style="37" min="14846" max="15090"/>
    <col width="3.1796875" customWidth="1" style="37" min="15091" max="15091"/>
    <col width="11.36328125" customWidth="1" style="37" min="15092" max="15092"/>
    <col width="10.1796875" customWidth="1" style="37" min="15093" max="15093"/>
    <col width="8.90625" customWidth="1" style="37" min="15094" max="15094"/>
    <col width="9.81640625" customWidth="1" style="37" min="15095" max="15095"/>
    <col width="9.08984375" bestFit="1" customWidth="1" style="37" min="15096" max="15096"/>
    <col width="9.08984375" customWidth="1" style="37" min="15097" max="15097"/>
    <col width="10.453125" bestFit="1" customWidth="1" style="37" min="15098" max="15098"/>
    <col width="10.36328125" customWidth="1" style="37" min="15099" max="15099"/>
    <col width="12.1796875" customWidth="1" style="37" min="15100" max="15100"/>
    <col width="2.81640625" customWidth="1" style="37" min="15101" max="15101"/>
    <col width="8.90625" customWidth="1" style="37" min="15102" max="15346"/>
    <col width="3.1796875" customWidth="1" style="37" min="15347" max="15347"/>
    <col width="11.36328125" customWidth="1" style="37" min="15348" max="15348"/>
    <col width="10.1796875" customWidth="1" style="37" min="15349" max="15349"/>
    <col width="8.90625" customWidth="1" style="37" min="15350" max="15350"/>
    <col width="9.81640625" customWidth="1" style="37" min="15351" max="15351"/>
    <col width="9.08984375" bestFit="1" customWidth="1" style="37" min="15352" max="15352"/>
    <col width="9.08984375" customWidth="1" style="37" min="15353" max="15353"/>
    <col width="10.453125" bestFit="1" customWidth="1" style="37" min="15354" max="15354"/>
    <col width="10.36328125" customWidth="1" style="37" min="15355" max="15355"/>
    <col width="12.1796875" customWidth="1" style="37" min="15356" max="15356"/>
    <col width="2.81640625" customWidth="1" style="37" min="15357" max="15357"/>
    <col width="8.90625" customWidth="1" style="37" min="15358" max="15602"/>
    <col width="3.1796875" customWidth="1" style="37" min="15603" max="15603"/>
    <col width="11.36328125" customWidth="1" style="37" min="15604" max="15604"/>
    <col width="10.1796875" customWidth="1" style="37" min="15605" max="15605"/>
    <col width="8.90625" customWidth="1" style="37" min="15606" max="15606"/>
    <col width="9.81640625" customWidth="1" style="37" min="15607" max="15607"/>
    <col width="9.08984375" bestFit="1" customWidth="1" style="37" min="15608" max="15608"/>
    <col width="9.08984375" customWidth="1" style="37" min="15609" max="15609"/>
    <col width="10.453125" bestFit="1" customWidth="1" style="37" min="15610" max="15610"/>
    <col width="10.36328125" customWidth="1" style="37" min="15611" max="15611"/>
    <col width="12.1796875" customWidth="1" style="37" min="15612" max="15612"/>
    <col width="2.81640625" customWidth="1" style="37" min="15613" max="15613"/>
    <col width="8.90625" customWidth="1" style="37" min="15614" max="15858"/>
    <col width="3.1796875" customWidth="1" style="37" min="15859" max="15859"/>
    <col width="11.36328125" customWidth="1" style="37" min="15860" max="15860"/>
    <col width="10.1796875" customWidth="1" style="37" min="15861" max="15861"/>
    <col width="8.90625" customWidth="1" style="37" min="15862" max="15862"/>
    <col width="9.81640625" customWidth="1" style="37" min="15863" max="15863"/>
    <col width="9.08984375" bestFit="1" customWidth="1" style="37" min="15864" max="15864"/>
    <col width="9.08984375" customWidth="1" style="37" min="15865" max="15865"/>
    <col width="10.453125" bestFit="1" customWidth="1" style="37" min="15866" max="15866"/>
    <col width="10.36328125" customWidth="1" style="37" min="15867" max="15867"/>
    <col width="12.1796875" customWidth="1" style="37" min="15868" max="15868"/>
    <col width="2.81640625" customWidth="1" style="37" min="15869" max="15869"/>
    <col width="8.90625" customWidth="1" style="37" min="15870" max="16114"/>
    <col width="3.1796875" customWidth="1" style="37" min="16115" max="16115"/>
    <col width="11.36328125" customWidth="1" style="37" min="16116" max="16116"/>
    <col width="10.1796875" customWidth="1" style="37" min="16117" max="16117"/>
    <col width="8.90625" customWidth="1" style="37" min="16118" max="16118"/>
    <col width="9.81640625" customWidth="1" style="37" min="16119" max="16119"/>
    <col width="9.08984375" bestFit="1" customWidth="1" style="37" min="16120" max="16120"/>
    <col width="9.08984375" customWidth="1" style="37" min="16121" max="16121"/>
    <col width="10.453125" bestFit="1" customWidth="1" style="37" min="16122" max="16122"/>
    <col width="10.36328125" customWidth="1" style="37" min="16123" max="16123"/>
    <col width="12.1796875" customWidth="1" style="37" min="16124" max="16124"/>
    <col width="2.81640625" customWidth="1" style="37" min="16125" max="16125"/>
    <col width="8.90625" customWidth="1" style="37" min="16126" max="16384"/>
  </cols>
  <sheetData>
    <row r="1" ht="30.75" customHeight="1">
      <c r="B1" s="68" t="inlineStr">
        <is>
          <t>御見積書</t>
        </is>
      </c>
    </row>
    <row r="2" ht="24" customHeight="1">
      <c r="B2" s="69" t="n"/>
      <c r="F2" s="5" t="n"/>
      <c r="G2" s="5" t="n"/>
    </row>
    <row r="3" ht="24" customHeight="1" thickBot="1">
      <c r="B3" s="34" t="n"/>
      <c r="C3" s="35" t="n"/>
      <c r="D3" s="35" t="n"/>
      <c r="H3" s="87">
        <f>TODAY()</f>
        <v/>
      </c>
    </row>
    <row r="4" ht="24" customHeight="1">
      <c r="H4" s="71" t="inlineStr">
        <is>
          <t>見積№：</t>
        </is>
      </c>
    </row>
    <row r="5" ht="17.25" customHeight="1">
      <c r="C5" s="37" t="inlineStr">
        <is>
          <t>いつもお世話になっております。</t>
        </is>
      </c>
    </row>
    <row r="6" ht="17.25" customHeight="1">
      <c r="C6" s="37" t="inlineStr">
        <is>
          <t>下記物品についてお見積り回答いたします。</t>
        </is>
      </c>
      <c r="H6" s="72" t="inlineStr">
        <is>
          <t xml:space="preserve">阪和興業株式会社
名古屋厚板２課　前島
TEL:052-977-3532 
FAX:052-977-3624
MOBILE:090-1893-1472
</t>
        </is>
      </c>
    </row>
    <row r="7" ht="17.25" customHeight="1"/>
    <row r="8" ht="17.25" customHeight="1">
      <c r="B8" s="2" t="n"/>
      <c r="C8" s="21" t="inlineStr">
        <is>
          <t>総計金額（税抜）：￥</t>
        </is>
      </c>
      <c r="D8" s="6">
        <f>J27</f>
        <v/>
      </c>
    </row>
    <row r="9" ht="17.25" customHeight="1">
      <c r="C9" s="19" t="inlineStr">
        <is>
          <t xml:space="preserve">　（税込10%）：￥</t>
        </is>
      </c>
      <c r="D9" s="20">
        <f>ROUND(D8*1.1,0)</f>
        <v/>
      </c>
    </row>
    <row r="10" ht="17.25" customHeight="1">
      <c r="C10" s="2" t="inlineStr">
        <is>
          <t>品名・物件名：</t>
        </is>
      </c>
      <c r="D10" s="2" t="n"/>
      <c r="E10" s="7" t="n"/>
      <c r="F10" s="7" t="n"/>
    </row>
    <row r="11" ht="17.25" customHeight="1">
      <c r="C11" s="32" t="inlineStr">
        <is>
          <t>受渡場所　及び条件　：貴社車上渡し</t>
        </is>
      </c>
      <c r="D11" s="33" t="n"/>
      <c r="E11" s="7" t="n"/>
      <c r="F11" s="7" t="n"/>
    </row>
    <row r="12" ht="17.25" customHeight="1">
      <c r="C12" s="32" t="inlineStr">
        <is>
          <t>決済条件               ：従来通り</t>
        </is>
      </c>
      <c r="D12" s="33" t="n"/>
      <c r="E12" s="8" t="n"/>
      <c r="F12" s="8" t="n"/>
    </row>
    <row r="13" ht="17.25" customHeight="1">
      <c r="C13" s="40">
        <f>"見積有効期限         ："&amp;TEXT(H3+30,"yyyy年m月d日")</f>
        <v/>
      </c>
      <c r="D13" s="33" t="n"/>
      <c r="E13" s="8" t="n"/>
      <c r="F13" s="8" t="n"/>
      <c r="I13" s="3" t="n"/>
    </row>
    <row r="14" ht="17.25" customHeight="1">
      <c r="C14" s="32" t="inlineStr">
        <is>
          <t>備考：</t>
        </is>
      </c>
      <c r="D14" s="33" t="n"/>
      <c r="E14" s="8" t="n"/>
      <c r="F14" s="8" t="n"/>
    </row>
    <row r="15" ht="17.25" customHeight="1"/>
    <row r="16" ht="15" customHeight="1" thickBot="1">
      <c r="B16" s="11" t="n"/>
      <c r="C16" s="11" t="n"/>
      <c r="D16" s="11" t="n"/>
      <c r="E16" s="49" t="n"/>
      <c r="F16" s="49" t="n"/>
      <c r="G16" s="49" t="n"/>
      <c r="H16" s="11" t="n"/>
      <c r="I16" s="11" t="n"/>
      <c r="J16" s="11" t="n"/>
      <c r="M16" s="73" t="inlineStr">
        <is>
          <t>原価</t>
        </is>
      </c>
      <c r="O16" s="74" t="n"/>
      <c r="P16" s="75" t="n">
        <v>0</v>
      </c>
      <c r="Q16" s="88" t="inlineStr">
        <is>
          <t>円/kg乗せ</t>
        </is>
      </c>
    </row>
    <row r="17" ht="15" customHeight="1">
      <c r="B17" s="54" t="inlineStr">
        <is>
          <t>板厚</t>
        </is>
      </c>
      <c r="C17" s="55" t="inlineStr">
        <is>
          <t>幅</t>
        </is>
      </c>
      <c r="D17" s="55" t="inlineStr">
        <is>
          <t>長さ</t>
        </is>
      </c>
      <c r="E17" s="56" t="inlineStr">
        <is>
          <t>単重量(kg)</t>
        </is>
      </c>
      <c r="F17" s="56" t="inlineStr">
        <is>
          <t>数量</t>
        </is>
      </c>
      <c r="G17" s="56" t="inlineStr">
        <is>
          <t>総重量(kg)</t>
        </is>
      </c>
      <c r="H17" s="55" t="inlineStr">
        <is>
          <t>単価(円/kg)</t>
        </is>
      </c>
      <c r="I17" s="55" t="inlineStr">
        <is>
          <t>枚単価(円)</t>
        </is>
      </c>
      <c r="J17" s="57" t="inlineStr">
        <is>
          <t>合計金額(円)</t>
        </is>
      </c>
      <c r="M17" s="54" t="n"/>
      <c r="N17" s="55" t="inlineStr">
        <is>
          <t>単価(円/kg)</t>
        </is>
      </c>
      <c r="O17" s="55" t="inlineStr">
        <is>
          <t>枚単価(円)</t>
        </is>
      </c>
      <c r="P17" s="57" t="inlineStr">
        <is>
          <t>合計金額(円)</t>
        </is>
      </c>
    </row>
    <row r="18" ht="15" customHeight="1">
      <c r="B18" s="58" t="n">
        <v>16</v>
      </c>
      <c r="C18" s="30" t="n">
        <v>1000</v>
      </c>
      <c r="D18" s="30" t="n">
        <v>1000</v>
      </c>
      <c r="E18" s="76" t="n">
        <v>125.6</v>
      </c>
      <c r="F18" s="30" t="n">
        <v>1</v>
      </c>
      <c r="G18" s="77">
        <f>E18*F18</f>
        <v/>
      </c>
      <c r="H18" s="24">
        <f>N18+$P$16</f>
        <v/>
      </c>
      <c r="I18" s="24">
        <f>E18*H18</f>
        <v/>
      </c>
      <c r="J18" s="59">
        <f>F18*I18</f>
        <v/>
      </c>
      <c r="M18" s="58" t="n"/>
      <c r="N18" s="79">
        <f>IFERROR(O18/E18,0)</f>
        <v/>
      </c>
      <c r="O18" s="80" t="n">
        <v>50000</v>
      </c>
      <c r="P18" s="80">
        <f>F18*O18</f>
        <v/>
      </c>
    </row>
    <row r="19">
      <c r="B19" s="58" t="n">
        <v>16</v>
      </c>
      <c r="C19" s="30" t="n">
        <v>1000</v>
      </c>
      <c r="D19" s="30" t="n">
        <v>1000</v>
      </c>
      <c r="E19" s="81" t="n">
        <v>125.6</v>
      </c>
      <c r="F19" s="31" t="n">
        <v>1</v>
      </c>
      <c r="G19" s="82">
        <f>E19*F19</f>
        <v/>
      </c>
      <c r="H19" s="24">
        <f>N19+$P$16</f>
        <v/>
      </c>
      <c r="I19" s="24">
        <f>E19*H19</f>
        <v/>
      </c>
      <c r="J19" s="59">
        <f>F19*I19</f>
        <v/>
      </c>
      <c r="K19" s="9" t="n"/>
      <c r="M19" s="58" t="n"/>
      <c r="N19" s="79">
        <f>IFERROR(O19/E19,0)</f>
        <v/>
      </c>
      <c r="O19" s="80" t="n">
        <v>50000</v>
      </c>
      <c r="P19" s="80">
        <f>F19*O19</f>
        <v/>
      </c>
    </row>
    <row r="20">
      <c r="B20" s="58" t="n"/>
      <c r="C20" s="30" t="n"/>
      <c r="D20" s="30" t="n"/>
      <c r="E20" s="76" t="n"/>
      <c r="F20" s="30" t="n"/>
      <c r="G20" s="77">
        <f>E20*F20</f>
        <v/>
      </c>
      <c r="H20" s="24">
        <f>N20+$P$16</f>
        <v/>
      </c>
      <c r="I20" s="24">
        <f>E20*H20</f>
        <v/>
      </c>
      <c r="J20" s="59">
        <f>F20*I20</f>
        <v/>
      </c>
      <c r="K20" s="9" t="n"/>
      <c r="M20" s="58" t="n"/>
      <c r="N20" s="79">
        <f>IFERROR(O20/E20,0)</f>
        <v/>
      </c>
      <c r="O20" s="80" t="n"/>
      <c r="P20" s="80">
        <f>F20*O20</f>
        <v/>
      </c>
    </row>
    <row r="21">
      <c r="B21" s="58" t="n"/>
      <c r="C21" s="30" t="n"/>
      <c r="D21" s="30" t="n"/>
      <c r="E21" s="81" t="n"/>
      <c r="F21" s="31" t="n"/>
      <c r="G21" s="82">
        <f>E21*F21</f>
        <v/>
      </c>
      <c r="H21" s="24">
        <f>N21+$P$16</f>
        <v/>
      </c>
      <c r="I21" s="24">
        <f>E21*H21</f>
        <v/>
      </c>
      <c r="J21" s="59">
        <f>F21*I21</f>
        <v/>
      </c>
      <c r="K21" s="9" t="n"/>
      <c r="M21" s="58" t="n"/>
      <c r="N21" s="79">
        <f>IFERROR(O21/E21,0)</f>
        <v/>
      </c>
      <c r="O21" s="80" t="n"/>
      <c r="P21" s="80">
        <f>F21*O21</f>
        <v/>
      </c>
    </row>
    <row r="22">
      <c r="B22" s="58" t="n"/>
      <c r="C22" s="30" t="n"/>
      <c r="D22" s="30" t="n"/>
      <c r="E22" s="76" t="n"/>
      <c r="F22" s="30" t="n"/>
      <c r="G22" s="77">
        <f>E22*F22</f>
        <v/>
      </c>
      <c r="H22" s="24">
        <f>N22+$P$16</f>
        <v/>
      </c>
      <c r="I22" s="24">
        <f>E22*H22</f>
        <v/>
      </c>
      <c r="J22" s="59">
        <f>F22*I22</f>
        <v/>
      </c>
      <c r="K22" s="9" t="n"/>
      <c r="M22" s="58" t="n"/>
      <c r="N22" s="79">
        <f>IFERROR(O22/E22,0)</f>
        <v/>
      </c>
      <c r="O22" s="80" t="n"/>
      <c r="P22" s="80">
        <f>F22*O22</f>
        <v/>
      </c>
    </row>
    <row r="23">
      <c r="B23" s="58" t="n"/>
      <c r="C23" s="30" t="n"/>
      <c r="D23" s="30" t="n"/>
      <c r="E23" s="81" t="n"/>
      <c r="F23" s="31" t="n"/>
      <c r="G23" s="82">
        <f>E23*F23</f>
        <v/>
      </c>
      <c r="H23" s="24">
        <f>N23+$P$16</f>
        <v/>
      </c>
      <c r="I23" s="24">
        <f>E23*H23</f>
        <v/>
      </c>
      <c r="J23" s="59">
        <f>F23*I23</f>
        <v/>
      </c>
      <c r="K23" s="9" t="n"/>
      <c r="M23" s="58" t="n"/>
      <c r="N23" s="79">
        <f>IFERROR(O23/E23,0)</f>
        <v/>
      </c>
      <c r="O23" s="80" t="n"/>
      <c r="P23" s="80">
        <f>F23*O23</f>
        <v/>
      </c>
    </row>
    <row r="24">
      <c r="B24" s="58" t="n"/>
      <c r="C24" s="30" t="n"/>
      <c r="D24" s="30" t="n"/>
      <c r="E24" s="76" t="n"/>
      <c r="F24" s="30" t="n"/>
      <c r="G24" s="77">
        <f>E24*F24</f>
        <v/>
      </c>
      <c r="H24" s="24">
        <f>N24+$P$16</f>
        <v/>
      </c>
      <c r="I24" s="24">
        <f>E24*H24</f>
        <v/>
      </c>
      <c r="J24" s="59">
        <f>F24*I24</f>
        <v/>
      </c>
      <c r="K24" s="9" t="n"/>
      <c r="M24" s="58" t="n"/>
      <c r="N24" s="79">
        <f>IFERROR(O24/E24,0)</f>
        <v/>
      </c>
      <c r="O24" s="80" t="n"/>
      <c r="P24" s="80">
        <f>F24*O24</f>
        <v/>
      </c>
    </row>
    <row r="25">
      <c r="B25" s="58" t="n"/>
      <c r="C25" s="30" t="n"/>
      <c r="D25" s="30" t="n"/>
      <c r="E25" s="76" t="n"/>
      <c r="F25" s="30" t="n"/>
      <c r="G25" s="77">
        <f>E25*F25</f>
        <v/>
      </c>
      <c r="H25" s="24">
        <f>N25+$P$16</f>
        <v/>
      </c>
      <c r="I25" s="24">
        <f>E25*H25</f>
        <v/>
      </c>
      <c r="J25" s="59">
        <f>F25*I25</f>
        <v/>
      </c>
      <c r="K25" s="9" t="n"/>
      <c r="M25" s="58" t="n"/>
      <c r="N25" s="79">
        <f>IFERROR(O25/E25,0)</f>
        <v/>
      </c>
      <c r="O25" s="80" t="n"/>
      <c r="P25" s="80">
        <f>F25*O25</f>
        <v/>
      </c>
    </row>
    <row r="26" ht="13.75" customHeight="1">
      <c r="B26" s="58" t="inlineStr">
        <is>
          <t>運賃</t>
        </is>
      </c>
      <c r="C26" s="27" t="n"/>
      <c r="D26" s="27" t="n"/>
      <c r="E26" s="83" t="n"/>
      <c r="F26" s="27" t="n"/>
      <c r="G26" s="83" t="n"/>
      <c r="H26" s="27" t="n"/>
      <c r="I26" s="29" t="n"/>
      <c r="J26" s="59">
        <f>ROUND(P26*Q26,-3)</f>
        <v/>
      </c>
      <c r="K26" s="9" t="n"/>
      <c r="M26" s="58" t="inlineStr">
        <is>
          <t>運賃</t>
        </is>
      </c>
      <c r="N26" s="27" t="n"/>
      <c r="O26" s="29" t="n"/>
      <c r="P26" s="80" t="n"/>
      <c r="Q26" s="89" t="n">
        <v>1.2</v>
      </c>
    </row>
    <row r="27" ht="16" customHeight="1" thickBot="1">
      <c r="B27" s="60" t="inlineStr">
        <is>
          <t>合計</t>
        </is>
      </c>
      <c r="C27" s="61" t="n"/>
      <c r="D27" s="62" t="n"/>
      <c r="E27" s="84" t="n"/>
      <c r="F27" s="64" t="n"/>
      <c r="G27" s="84" t="n"/>
      <c r="H27" s="85" t="n"/>
      <c r="I27" s="66" t="n"/>
      <c r="J27" s="67">
        <f>SUM(J18:J26)</f>
        <v/>
      </c>
      <c r="K27" s="9" t="n"/>
      <c r="M27" s="60" t="inlineStr">
        <is>
          <t>合計</t>
        </is>
      </c>
      <c r="N27" s="85" t="n"/>
      <c r="O27" s="66" t="n"/>
      <c r="P27" s="67">
        <f>SUM(P18:P26)</f>
        <v/>
      </c>
    </row>
    <row r="28" ht="16" customHeight="1">
      <c r="J28" s="9" t="n"/>
      <c r="K28" s="9" t="n"/>
      <c r="M28" s="88" t="inlineStr">
        <is>
          <t>利益</t>
        </is>
      </c>
      <c r="P28" s="90">
        <f>J27-P27</f>
        <v/>
      </c>
    </row>
    <row r="29" ht="16" customFormat="1" customHeight="1" s="11">
      <c r="B29" s="44" t="n"/>
      <c r="C29" s="45" t="n"/>
      <c r="E29" s="46" t="n"/>
      <c r="F29" s="46" t="n"/>
      <c r="G29" s="46" t="n"/>
      <c r="H29" s="86" t="n"/>
      <c r="J29" s="48" t="n"/>
      <c r="K29" s="48" t="n"/>
    </row>
    <row r="30" ht="16" customFormat="1" customHeight="1" s="11">
      <c r="E30" s="49" t="n"/>
      <c r="F30" s="49" t="n"/>
      <c r="G30" s="49" t="n"/>
      <c r="J30" s="48" t="n"/>
      <c r="K30" s="48" t="n"/>
    </row>
    <row r="31" ht="16.25" customFormat="1" customHeight="1" s="11">
      <c r="B31" s="44" t="n"/>
      <c r="C31" s="45" t="n"/>
      <c r="E31" s="46" t="n"/>
      <c r="F31" s="46" t="n"/>
      <c r="G31" s="46" t="n"/>
      <c r="H31" s="86" t="n"/>
      <c r="J31" s="48" t="n"/>
      <c r="K31" s="48" t="n"/>
    </row>
    <row r="32" ht="16.25" customFormat="1" customHeight="1" s="11">
      <c r="E32" s="49" t="n"/>
      <c r="F32" s="49" t="n"/>
      <c r="G32" s="49" t="n"/>
      <c r="J32" s="48" t="n"/>
      <c r="K32" s="48" t="n"/>
    </row>
    <row r="33" ht="16" customFormat="1" customHeight="1" s="11">
      <c r="B33" s="44" t="n"/>
      <c r="C33" s="37" t="n"/>
      <c r="D33" s="37" t="n"/>
      <c r="E33" s="37" t="n"/>
      <c r="F33" s="46" t="n"/>
      <c r="G33" s="46" t="n"/>
      <c r="H33" s="86" t="n"/>
      <c r="J33" s="48" t="n"/>
      <c r="K33" s="48" t="n"/>
    </row>
    <row r="34" ht="16" customFormat="1" customHeight="1" s="11">
      <c r="E34" s="49" t="n"/>
      <c r="F34" s="49" t="n"/>
      <c r="G34" s="49" t="n"/>
      <c r="J34" s="48" t="n"/>
      <c r="K34" s="48" t="n"/>
    </row>
    <row r="35" ht="16" customFormat="1" customHeight="1" s="11">
      <c r="B35" s="44" t="n"/>
      <c r="C35" s="45" t="n"/>
      <c r="E35" s="46" t="n"/>
      <c r="F35" s="46" t="n"/>
      <c r="G35" s="46" t="n"/>
      <c r="H35" s="86" t="n"/>
      <c r="J35" s="48" t="n"/>
      <c r="K35" s="48" t="n"/>
    </row>
    <row r="36" ht="16" customFormat="1" customHeight="1" s="11">
      <c r="E36" s="49" t="n"/>
      <c r="F36" s="49" t="n"/>
      <c r="G36" s="49" t="n"/>
      <c r="J36" s="48" t="n"/>
      <c r="K36" s="48" t="n"/>
    </row>
    <row r="37" ht="16" customFormat="1" customHeight="1" s="11">
      <c r="B37" s="44" t="n"/>
      <c r="C37" s="45" t="n"/>
      <c r="E37" s="46" t="n"/>
      <c r="F37" s="46" t="n"/>
      <c r="G37" s="46" t="n"/>
      <c r="H37" s="86" t="n"/>
      <c r="J37" s="48" t="n"/>
      <c r="K37" s="48" t="n"/>
    </row>
    <row r="38" ht="16" customFormat="1" customHeight="1" s="11">
      <c r="E38" s="49" t="n"/>
      <c r="F38" s="49" t="n"/>
      <c r="G38" s="49" t="n"/>
      <c r="J38" s="48" t="n"/>
      <c r="K38" s="48" t="n"/>
    </row>
    <row r="39" ht="16" customFormat="1" customHeight="1" s="11">
      <c r="B39" s="44" t="n"/>
      <c r="C39" s="45" t="n"/>
      <c r="E39" s="46" t="n"/>
      <c r="F39" s="46" t="n"/>
      <c r="G39" s="46" t="n"/>
      <c r="H39" s="86" t="n"/>
      <c r="J39" s="48" t="n"/>
      <c r="K39" s="48" t="n"/>
    </row>
    <row r="40" ht="16" customFormat="1" customHeight="1" s="11">
      <c r="E40" s="49" t="n"/>
      <c r="F40" s="49" t="n"/>
      <c r="G40" s="49" t="n"/>
      <c r="J40" s="48" t="n"/>
      <c r="K40" s="48" t="n"/>
    </row>
    <row r="41" ht="16" customFormat="1" customHeight="1" s="11">
      <c r="B41" s="44" t="n"/>
      <c r="C41" s="45" t="n"/>
      <c r="E41" s="46" t="n"/>
      <c r="F41" s="46" t="n"/>
      <c r="G41" s="46" t="n"/>
      <c r="H41" s="86" t="n"/>
      <c r="J41" s="48" t="n"/>
      <c r="K41" s="48" t="n"/>
    </row>
    <row r="42" ht="16" customFormat="1" customHeight="1" s="11">
      <c r="E42" s="49" t="n"/>
      <c r="F42" s="49" t="n"/>
      <c r="G42" s="49" t="n"/>
      <c r="J42" s="48" t="n"/>
      <c r="K42" s="48" t="n"/>
    </row>
    <row r="43" ht="16" customFormat="1" customHeight="1" s="11">
      <c r="B43" s="44" t="n"/>
      <c r="C43" s="45" t="n"/>
      <c r="E43" s="46" t="n"/>
      <c r="F43" s="46" t="n"/>
      <c r="G43" s="46" t="n"/>
      <c r="H43" s="86" t="n"/>
      <c r="J43" s="48" t="n"/>
      <c r="K43" s="48" t="n"/>
    </row>
    <row r="44" ht="16" customFormat="1" customHeight="1" s="11">
      <c r="E44" s="49" t="n"/>
      <c r="F44" s="49" t="n"/>
      <c r="G44" s="49" t="n"/>
      <c r="J44" s="48" t="n"/>
      <c r="K44" s="48" t="n"/>
    </row>
    <row r="45" ht="16" customFormat="1" customHeight="1" s="11">
      <c r="B45" s="44" t="n"/>
      <c r="C45" s="45" t="n"/>
      <c r="E45" s="46" t="n"/>
      <c r="F45" s="46" t="n"/>
      <c r="G45" s="46" t="n"/>
      <c r="H45" s="86" t="n"/>
      <c r="J45" s="48" t="n"/>
      <c r="K45" s="48" t="n"/>
    </row>
    <row r="46" ht="16.5" customFormat="1" customHeight="1" s="11">
      <c r="E46" s="49" t="n"/>
      <c r="F46" s="49" t="n"/>
      <c r="G46" s="49" t="n"/>
      <c r="J46" s="48" t="n"/>
      <c r="K46" s="48" t="n"/>
    </row>
    <row r="47" customFormat="1" s="11">
      <c r="B47" s="44" t="n"/>
      <c r="C47" s="45" t="n"/>
      <c r="E47" s="46" t="n"/>
      <c r="F47" s="46" t="n"/>
      <c r="G47" s="46" t="n"/>
      <c r="H47" s="86" t="n"/>
      <c r="J47" s="48" t="n"/>
      <c r="K47" s="48" t="n"/>
    </row>
    <row r="48" customFormat="1" s="11">
      <c r="E48" s="49" t="n"/>
      <c r="F48" s="49" t="n"/>
      <c r="G48" s="49" t="n"/>
      <c r="J48" s="48" t="n"/>
      <c r="K48" s="48" t="n"/>
    </row>
    <row r="49" customFormat="1" s="11">
      <c r="B49" s="44" t="n"/>
      <c r="C49" s="45" t="n"/>
      <c r="E49" s="46" t="n"/>
      <c r="F49" s="46" t="n"/>
      <c r="G49" s="46" t="n"/>
      <c r="H49" s="86" t="n"/>
      <c r="J49" s="48" t="n"/>
      <c r="K49" s="48" t="n"/>
    </row>
    <row r="50" customFormat="1" s="11">
      <c r="E50" s="49" t="n"/>
      <c r="F50" s="49" t="n"/>
      <c r="G50" s="49" t="n"/>
      <c r="J50" s="48" t="n"/>
      <c r="K50" s="48" t="n"/>
    </row>
    <row r="51" customFormat="1" s="11">
      <c r="B51" s="44" t="n"/>
      <c r="C51" s="45" t="n"/>
      <c r="E51" s="46" t="n"/>
      <c r="F51" s="46" t="n"/>
      <c r="G51" s="46" t="n"/>
      <c r="H51" s="86" t="n"/>
      <c r="J51" s="48" t="n"/>
      <c r="K51" s="48" t="n"/>
    </row>
    <row r="52" customFormat="1" s="11">
      <c r="E52" s="49" t="n"/>
      <c r="F52" s="49" t="n"/>
      <c r="G52" s="49" t="n"/>
      <c r="J52" s="48" t="n"/>
      <c r="K52" s="48" t="n"/>
    </row>
    <row r="53" customFormat="1" s="11">
      <c r="B53" s="44" t="n"/>
      <c r="C53" s="44" t="n"/>
      <c r="E53" s="50" t="n"/>
      <c r="F53" s="50" t="n"/>
      <c r="G53" s="50" t="n"/>
      <c r="H53" s="86" t="n"/>
      <c r="J53" s="48" t="n"/>
      <c r="K53" s="48" t="n"/>
    </row>
    <row r="54" ht="13.75" customFormat="1" customHeight="1" s="11">
      <c r="B54" s="44" t="n"/>
      <c r="C54" s="44" t="n"/>
      <c r="E54" s="50" t="n"/>
      <c r="F54" s="50" t="n"/>
      <c r="G54" s="50" t="n"/>
      <c r="H54" s="44" t="n"/>
      <c r="J54" s="48" t="n"/>
      <c r="K54" s="48" t="n"/>
    </row>
    <row r="55" customFormat="1" s="11">
      <c r="E55" s="49" t="n"/>
      <c r="F55" s="49" t="n"/>
      <c r="G55" s="49" t="n"/>
    </row>
    <row r="56" ht="16" customFormat="1" customHeight="1" s="11">
      <c r="C56" s="51" t="n"/>
      <c r="D56" s="15" t="n"/>
      <c r="E56" s="14" t="n"/>
      <c r="F56" s="14" t="n"/>
      <c r="G56" s="14" t="n"/>
      <c r="H56" s="15" t="n"/>
      <c r="I56" s="15" t="n"/>
    </row>
    <row r="57" ht="16" customFormat="1" customHeight="1" s="11">
      <c r="C57" s="51" t="n"/>
      <c r="D57" s="15" t="n"/>
      <c r="E57" s="14" t="n"/>
      <c r="F57" s="14" t="n"/>
      <c r="G57" s="14" t="n"/>
      <c r="H57" s="15" t="n"/>
      <c r="I57" s="15" t="n"/>
    </row>
    <row r="58" ht="16" customFormat="1" customHeight="1" s="11">
      <c r="C58" s="51" t="n"/>
      <c r="D58" s="15" t="n"/>
      <c r="E58" s="14" t="n"/>
      <c r="F58" s="14" t="n"/>
      <c r="G58" s="14" t="n"/>
      <c r="H58" s="15" t="n"/>
      <c r="I58" s="15" t="n"/>
    </row>
    <row r="59" ht="16" customFormat="1" customHeight="1" s="11">
      <c r="C59" s="52" t="n"/>
      <c r="D59" s="51" t="n"/>
      <c r="E59" s="51" t="n"/>
      <c r="F59" s="51" t="n"/>
      <c r="G59" s="51" t="n"/>
      <c r="H59" s="51" t="n"/>
      <c r="I59" s="15" t="n"/>
    </row>
    <row r="60" ht="16" customFormat="1" customHeight="1" s="11">
      <c r="C60" s="12" t="n"/>
      <c r="D60" s="51" t="n"/>
      <c r="E60" s="51" t="n"/>
      <c r="F60" s="51" t="n"/>
      <c r="G60" s="51" t="n"/>
      <c r="H60" s="51" t="n"/>
      <c r="I60" s="15" t="n"/>
    </row>
    <row r="61" hidden="1" ht="16" customFormat="1" customHeight="1" s="11">
      <c r="C61" s="12" t="n"/>
      <c r="D61" s="13" t="n"/>
      <c r="E61" s="13" t="n"/>
      <c r="F61" s="14" t="n"/>
      <c r="G61" s="14" t="n"/>
      <c r="H61" s="15" t="n"/>
      <c r="I61" s="15" t="n"/>
    </row>
    <row r="62" hidden="1" ht="16" customFormat="1" customHeight="1" s="11">
      <c r="C62" s="53" t="n"/>
      <c r="D62" s="13" t="n"/>
      <c r="E62" s="13" t="n"/>
      <c r="F62" s="14" t="n"/>
      <c r="G62" s="14" t="n"/>
      <c r="H62" s="15" t="n"/>
      <c r="I62" s="15" t="n"/>
    </row>
    <row r="63" hidden="1" ht="16" customFormat="1" customHeight="1" s="11">
      <c r="C63" s="51" t="n"/>
      <c r="D63" s="13" t="n"/>
      <c r="E63" s="13" t="n"/>
      <c r="F63" s="14" t="n"/>
      <c r="G63" s="14" t="n"/>
      <c r="H63" s="15" t="n"/>
      <c r="I63" s="15" t="n"/>
    </row>
    <row r="64" hidden="1" ht="16" customFormat="1" customHeight="1" s="11">
      <c r="C64" s="51" t="n"/>
      <c r="D64" s="13" t="n"/>
      <c r="E64" s="13" t="n"/>
      <c r="F64" s="14" t="n"/>
      <c r="G64" s="14" t="n"/>
      <c r="H64" s="15" t="n"/>
      <c r="I64" s="15" t="n"/>
    </row>
    <row r="65" hidden="1" ht="16" customFormat="1" customHeight="1" s="11">
      <c r="C65" s="12" t="n"/>
      <c r="D65" s="13" t="n"/>
      <c r="E65" s="13" t="n"/>
      <c r="F65" s="14" t="n"/>
      <c r="G65" s="14" t="n"/>
      <c r="H65" s="15" t="n"/>
      <c r="I65" s="15" t="n"/>
    </row>
    <row r="66" hidden="1" ht="16" customFormat="1" customHeight="1" s="11">
      <c r="D66" s="13" t="n"/>
      <c r="E66" s="13" t="n"/>
      <c r="F66" s="14" t="n"/>
      <c r="G66" s="14" t="n"/>
      <c r="H66" s="15" t="n"/>
      <c r="I66" s="15" t="n"/>
    </row>
    <row r="67" hidden="1" ht="16" customFormat="1" customHeight="1" s="11">
      <c r="C67" s="12" t="n"/>
      <c r="D67" s="13" t="n"/>
      <c r="E67" s="13" t="n"/>
      <c r="F67" s="14" t="n"/>
      <c r="G67" s="14" t="n"/>
      <c r="H67" s="15" t="n"/>
      <c r="I67" s="15" t="n"/>
    </row>
    <row r="68" ht="16" customFormat="1" customHeight="1" s="11">
      <c r="A68" s="10" t="n"/>
      <c r="C68" s="12" t="n"/>
      <c r="D68" s="13" t="n"/>
      <c r="E68" s="13" t="n"/>
      <c r="F68" s="14" t="n"/>
      <c r="G68" s="14" t="n"/>
      <c r="H68" s="15" t="n"/>
      <c r="I68" s="15" t="n"/>
      <c r="J68" s="10" t="n"/>
    </row>
    <row r="69" ht="16" customFormat="1" customHeight="1" s="11">
      <c r="A69" s="10" t="n"/>
      <c r="C69" s="12" t="n"/>
      <c r="D69" s="13" t="n"/>
      <c r="E69" s="13" t="n"/>
      <c r="F69" s="14" t="n"/>
      <c r="G69" s="14" t="n"/>
      <c r="H69" s="15" t="n"/>
      <c r="I69" s="15" t="n"/>
      <c r="J69" s="10" t="n"/>
    </row>
    <row r="70" ht="16" customHeight="1">
      <c r="A70" s="10" t="n"/>
      <c r="B70" s="11" t="n"/>
      <c r="C70" s="12" t="n"/>
      <c r="D70" s="13" t="n"/>
      <c r="E70" s="13" t="n"/>
      <c r="F70" s="14" t="n"/>
      <c r="G70" s="14" t="n"/>
      <c r="H70" s="15" t="n"/>
      <c r="I70" s="15" t="n"/>
      <c r="J70" s="10" t="n"/>
    </row>
    <row r="71" ht="16" customHeight="1">
      <c r="A71" s="10" t="n"/>
      <c r="B71" s="11" t="n"/>
      <c r="C71" s="12" t="n"/>
      <c r="D71" s="13" t="n"/>
      <c r="E71" s="13" t="n"/>
      <c r="F71" s="14" t="n"/>
      <c r="G71" s="14" t="n"/>
      <c r="H71" s="15" t="n"/>
      <c r="I71" s="15" t="n"/>
      <c r="J71" s="10" t="n"/>
    </row>
    <row r="72" ht="16" customHeight="1">
      <c r="A72" s="10" t="n"/>
      <c r="B72" s="11" t="n"/>
      <c r="C72" s="12" t="n"/>
      <c r="D72" s="13" t="n"/>
      <c r="E72" s="13" t="n"/>
      <c r="F72" s="14" t="n"/>
      <c r="G72" s="14" t="n"/>
      <c r="H72" s="15" t="n"/>
      <c r="I72" s="15" t="n"/>
      <c r="J72" s="10" t="n"/>
    </row>
    <row r="73" ht="16" customHeight="1">
      <c r="A73" s="10" t="n"/>
      <c r="B73" s="11" t="n"/>
      <c r="C73" s="12" t="n"/>
      <c r="D73" s="13" t="n"/>
      <c r="E73" s="13" t="n"/>
      <c r="F73" s="14" t="n"/>
      <c r="G73" s="14" t="n"/>
      <c r="H73" s="15" t="n"/>
      <c r="I73" s="15" t="n"/>
      <c r="J73" s="10" t="n"/>
    </row>
    <row r="74" ht="16" customHeight="1">
      <c r="A74" s="10" t="n"/>
      <c r="B74" s="11" t="n"/>
      <c r="C74" s="16" t="n"/>
      <c r="D74" s="17" t="n"/>
      <c r="E74" s="17" t="n"/>
      <c r="F74" s="18" t="n"/>
      <c r="G74" s="10" t="n"/>
      <c r="H74" s="10" t="n"/>
      <c r="I74" s="10" t="n"/>
      <c r="J74" s="10" t="n"/>
    </row>
  </sheetData>
  <mergeCells count="10">
    <mergeCell ref="C12:D12"/>
    <mergeCell ref="B3:D3"/>
    <mergeCell ref="H6:I11"/>
    <mergeCell ref="C11:D11"/>
    <mergeCell ref="C14:D14"/>
    <mergeCell ref="B1:J1"/>
    <mergeCell ref="C13:D13"/>
    <mergeCell ref="H4:I4"/>
    <mergeCell ref="B2:D2"/>
    <mergeCell ref="H3:I3"/>
  </mergeCells>
  <printOptions horizontalCentered="1"/>
  <pageMargins left="0" right="0.1968503937007874" top="1.062992125984252" bottom="0.984251968503937" header="0.5118110236220472" footer="0.5118110236220472"/>
  <pageSetup orientation="landscape" paperSize="9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2021-05-11T09:01:08Z</dcterms:created>
  <dcterms:modified xsi:type="dcterms:W3CDTF">2026-10-03T00:18:51Z</dcterms:modified>
  <cp:lastModifiedBy>前島拓弥／MAEJIMA_TAKUYA</cp:lastModifiedBy>
  <cp:lastPrinted>2026-07-21T02:33:07Z</cp:lastPrinted>
</cp:coreProperties>
</file>