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見積書" sheetId="1" state="visible" r:id="rId1"/>
  </sheets>
  <definedNames>
    <definedName name="_xlnm.Print_Area" localSheetId="0">'見積書'!$A$1:$J$70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¥&quot;#,##0;[Red]&quot;¥&quot;\-#,##0"/>
    <numFmt numFmtId="165" formatCode="[$-411]ggge&quot;年&quot;m&quot;月&quot;d&quot;日&quot;"/>
  </numFmts>
  <fonts count="13"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Meiryo UI"/>
      <charset val="128"/>
      <family val="3"/>
      <sz val="20"/>
    </font>
    <font>
      <name val="Meiryo UI"/>
      <charset val="128"/>
      <family val="3"/>
      <sz val="11"/>
    </font>
    <font>
      <name val="Meiryo UI"/>
      <charset val="128"/>
      <family val="3"/>
      <b val="1"/>
      <sz val="14"/>
    </font>
    <font>
      <name val="Meiryo UI"/>
      <charset val="128"/>
      <family val="3"/>
      <sz val="16"/>
    </font>
    <font>
      <name val="Meiryo UI"/>
      <charset val="128"/>
      <family val="3"/>
      <color indexed="10"/>
      <sz val="11"/>
    </font>
    <font>
      <name val="Meiryo UI"/>
      <charset val="128"/>
      <family val="3"/>
      <b val="1"/>
      <sz val="11"/>
    </font>
    <font>
      <name val="Meiryo UI"/>
      <charset val="128"/>
      <family val="3"/>
      <sz val="12"/>
    </font>
    <font>
      <name val="ＭＳ Ｐゴシック"/>
      <charset val="128"/>
      <family val="3"/>
      <sz val="11"/>
    </font>
    <font>
      <name val="Meiryo UI"/>
      <charset val="128"/>
      <family val="3"/>
      <b val="1"/>
      <sz val="16"/>
    </font>
    <font>
      <name val="Meiryo UI"/>
      <charset val="128"/>
      <family val="3"/>
      <b val="1"/>
      <color rgb="FFFF0000"/>
      <sz val="11"/>
    </font>
    <font>
      <name val="Meiryo UI"/>
      <charset val="128"/>
      <sz val="11"/>
    </font>
  </fonts>
  <fills count="2">
    <fill>
      <patternFill/>
    </fill>
    <fill>
      <patternFill patternType="gray125"/>
    </fill>
  </fills>
  <borders count="5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/>
  </borders>
  <cellStyleXfs count="2">
    <xf numFmtId="0" fontId="9" fillId="0" borderId="0"/>
    <xf numFmtId="38" fontId="9" fillId="0" borderId="0" applyAlignment="1">
      <alignment vertical="center"/>
    </xf>
  </cellStyleXfs>
  <cellXfs count="138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5" applyAlignment="1" pivotButton="0" quotePrefix="0" xfId="0">
      <alignment horizontal="center" vertical="center"/>
    </xf>
    <xf numFmtId="0" fontId="3" fillId="0" borderId="25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8" fillId="0" borderId="2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8" fillId="0" borderId="29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38" fontId="3" fillId="0" borderId="0" applyAlignment="1" pivotButton="0" quotePrefix="0" xfId="1">
      <alignment vertical="center"/>
    </xf>
    <xf numFmtId="38" fontId="3" fillId="0" borderId="20" applyAlignment="1" pivotButton="0" quotePrefix="0" xfId="1">
      <alignment horizontal="center" vertical="center"/>
    </xf>
    <xf numFmtId="38" fontId="3" fillId="0" borderId="16" applyAlignment="1" pivotButton="0" quotePrefix="0" xfId="1">
      <alignment horizontal="center" vertical="center"/>
    </xf>
    <xf numFmtId="38" fontId="3" fillId="0" borderId="19" applyAlignment="1" pivotButton="0" quotePrefix="0" xfId="1">
      <alignment horizontal="center" vertical="center"/>
    </xf>
    <xf numFmtId="38" fontId="3" fillId="0" borderId="1" applyAlignment="1" pivotButton="0" quotePrefix="0" xfId="1">
      <alignment vertical="center"/>
    </xf>
    <xf numFmtId="38" fontId="8" fillId="0" borderId="27" applyAlignment="1" pivotButton="0" quotePrefix="0" xfId="1">
      <alignment vertical="center"/>
    </xf>
    <xf numFmtId="38" fontId="3" fillId="0" borderId="0" applyAlignment="1" pivotButton="0" quotePrefix="0" xfId="1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38" fontId="3" fillId="0" borderId="0" applyAlignment="1" pivotButton="0" quotePrefix="0" xfId="1">
      <alignment vertical="center"/>
    </xf>
    <xf numFmtId="0" fontId="8" fillId="0" borderId="1" applyAlignment="1" pivotButton="0" quotePrefix="0" xfId="0">
      <alignment vertical="top"/>
    </xf>
    <xf numFmtId="0" fontId="5" fillId="0" borderId="2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38" fontId="3" fillId="0" borderId="16" applyAlignment="1" pivotButton="0" quotePrefix="0" xfId="1">
      <alignment vertical="center"/>
    </xf>
    <xf numFmtId="38" fontId="3" fillId="0" borderId="16" applyAlignment="1" pivotButton="0" quotePrefix="0" xfId="1">
      <alignment horizontal="right" vertical="center"/>
    </xf>
    <xf numFmtId="38" fontId="3" fillId="0" borderId="34" applyAlignment="1" pivotButton="0" quotePrefix="0" xfId="1">
      <alignment horizontal="center" vertical="center"/>
    </xf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top"/>
    </xf>
    <xf numFmtId="38" fontId="8" fillId="0" borderId="0" applyAlignment="1" pivotButton="0" quotePrefix="0" xfId="1">
      <alignment vertical="center"/>
    </xf>
    <xf numFmtId="38" fontId="3" fillId="0" borderId="0" applyAlignment="1" pivotButton="0" quotePrefix="0" xfId="0">
      <alignment vertical="center"/>
    </xf>
    <xf numFmtId="0" fontId="7" fillId="0" borderId="27" applyAlignment="1" pivotButton="0" quotePrefix="0" xfId="0">
      <alignment vertical="center"/>
    </xf>
    <xf numFmtId="40" fontId="3" fillId="0" borderId="0" applyAlignment="1" pivotButton="0" quotePrefix="0" xfId="1">
      <alignment vertical="center"/>
    </xf>
    <xf numFmtId="38" fontId="10" fillId="0" borderId="2" applyAlignment="1" pivotButton="0" quotePrefix="0" xfId="0">
      <alignment horizontal="left" vertical="center"/>
    </xf>
    <xf numFmtId="38" fontId="3" fillId="0" borderId="2" applyAlignment="1" pivotButton="0" quotePrefix="0" xfId="1">
      <alignment vertical="center"/>
    </xf>
    <xf numFmtId="38" fontId="3" fillId="0" borderId="3" applyAlignment="1" pivotButton="0" quotePrefix="0" xfId="1">
      <alignment vertical="center"/>
    </xf>
    <xf numFmtId="38" fontId="3" fillId="0" borderId="16" applyAlignment="1" pivotButton="0" quotePrefix="0" xfId="1">
      <alignment horizontal="right" vertical="center"/>
    </xf>
    <xf numFmtId="0" fontId="11" fillId="0" borderId="1" applyAlignment="1" pivotButton="0" quotePrefix="0" xfId="0">
      <alignment vertical="top"/>
    </xf>
    <xf numFmtId="38" fontId="3" fillId="0" borderId="40" applyAlignment="1" pivotButton="0" quotePrefix="0" xfId="1">
      <alignment horizontal="center" vertical="center"/>
    </xf>
    <xf numFmtId="38" fontId="3" fillId="0" borderId="39" applyAlignment="1" pivotButton="0" quotePrefix="0" xfId="1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64" fontId="3" fillId="0" borderId="17" applyAlignment="1" pivotButton="0" quotePrefix="0" xfId="0">
      <alignment horizontal="center" vertical="center"/>
    </xf>
    <xf numFmtId="164" fontId="3" fillId="0" borderId="18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wrapText="1"/>
    </xf>
    <xf numFmtId="0" fontId="8" fillId="0" borderId="14" applyAlignment="1" pivotButton="0" quotePrefix="0" xfId="0">
      <alignment horizontal="right" wrapText="1"/>
    </xf>
    <xf numFmtId="164" fontId="3" fillId="0" borderId="33" applyAlignment="1" pivotButton="0" quotePrefix="0" xfId="0">
      <alignment horizontal="center" vertical="center"/>
    </xf>
    <xf numFmtId="164" fontId="3" fillId="0" borderId="41" applyAlignment="1" pivotButton="0" quotePrefix="0" xfId="0">
      <alignment horizontal="center" vertical="center"/>
    </xf>
    <xf numFmtId="164" fontId="3" fillId="0" borderId="23" applyAlignment="1" pivotButton="0" quotePrefix="0" xfId="0">
      <alignment horizontal="center" vertical="center"/>
    </xf>
    <xf numFmtId="164" fontId="3" fillId="0" borderId="42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38" fontId="7" fillId="0" borderId="30" applyAlignment="1" pivotButton="0" quotePrefix="0" xfId="1">
      <alignment horizontal="center" vertical="center"/>
    </xf>
    <xf numFmtId="38" fontId="7" fillId="0" borderId="31" applyAlignment="1" pivotButton="0" quotePrefix="0" xfId="1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38" fontId="3" fillId="0" borderId="30" applyAlignment="1" pivotButton="0" quotePrefix="0" xfId="1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58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21" applyAlignment="1" pivotButton="0" quotePrefix="0" xfId="0">
      <alignment horizontal="center" vertical="center"/>
    </xf>
    <xf numFmtId="0" fontId="3" fillId="0" borderId="38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7" fillId="0" borderId="0" applyAlignment="1" pivotButton="0" quotePrefix="0" xfId="0">
      <alignment vertical="top"/>
    </xf>
    <xf numFmtId="0" fontId="0" fillId="0" borderId="1" pivotButton="0" quotePrefix="0" xfId="0"/>
    <xf numFmtId="165" fontId="3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8" pivotButton="0" quotePrefix="0" xfId="0"/>
    <xf numFmtId="38" fontId="7" fillId="0" borderId="52" applyAlignment="1" pivotButton="0" quotePrefix="0" xfId="1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36" pivotButton="0" quotePrefix="0" xfId="0"/>
    <xf numFmtId="0" fontId="0" fillId="0" borderId="2" pivotButton="0" quotePrefix="0" xfId="0"/>
    <xf numFmtId="0" fontId="0" fillId="0" borderId="48" pivotButton="0" quotePrefix="0" xfId="0"/>
    <xf numFmtId="0" fontId="0" fillId="0" borderId="31" pivotButton="0" quotePrefix="0" xfId="0"/>
    <xf numFmtId="0" fontId="0" fillId="0" borderId="13" pivotButton="0" quotePrefix="0" xfId="0"/>
    <xf numFmtId="0" fontId="0" fillId="0" borderId="14" pivotButton="0" quotePrefix="0" xfId="0"/>
    <xf numFmtId="0" fontId="3" fillId="0" borderId="30" applyAlignment="1" pivotButton="0" quotePrefix="0" xfId="0">
      <alignment horizontal="center" vertical="center" wrapText="1"/>
    </xf>
    <xf numFmtId="38" fontId="3" fillId="0" borderId="6" applyAlignment="1" pivotButton="0" quotePrefix="0" xfId="1">
      <alignment horizontal="center" vertical="center"/>
    </xf>
    <xf numFmtId="164" fontId="3" fillId="0" borderId="51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24" pivotButton="0" quotePrefix="0" xfId="0"/>
    <xf numFmtId="0" fontId="0" fillId="0" borderId="39" pivotButton="0" quotePrefix="0" xfId="0"/>
    <xf numFmtId="0" fontId="0" fillId="0" borderId="23" pivotButton="0" quotePrefix="0" xfId="0"/>
    <xf numFmtId="0" fontId="0" fillId="0" borderId="42" pivotButton="0" quotePrefix="0" xfId="0"/>
    <xf numFmtId="0" fontId="0" fillId="0" borderId="47" pivotButton="0" quotePrefix="0" xfId="0"/>
    <xf numFmtId="164" fontId="3" fillId="0" borderId="4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18" pivotButton="0" quotePrefix="0" xfId="0"/>
    <xf numFmtId="0" fontId="0" fillId="0" borderId="38" pivotButton="0" quotePrefix="0" xfId="0"/>
    <xf numFmtId="0" fontId="3" fillId="0" borderId="49" applyAlignment="1" pivotButton="0" quotePrefix="0" xfId="0">
      <alignment horizontal="center" vertical="center"/>
    </xf>
    <xf numFmtId="0" fontId="0" fillId="0" borderId="22" pivotButton="0" quotePrefix="0" xfId="0"/>
    <xf numFmtId="0" fontId="4" fillId="0" borderId="0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center" vertical="center" shrinkToFit="1"/>
    </xf>
    <xf numFmtId="0" fontId="9" fillId="0" borderId="0" pivotButton="0" quotePrefix="0" xfId="0"/>
    <xf numFmtId="38" fontId="3" fillId="0" borderId="16" applyAlignment="1" pivotButton="0" quotePrefix="0" xfId="0">
      <alignment horizontal="center" vertical="center"/>
    </xf>
    <xf numFmtId="38" fontId="3" fillId="0" borderId="16" applyAlignment="1" pivotButton="0" quotePrefix="0" xfId="0">
      <alignment horizontal="right" vertical="center"/>
    </xf>
    <xf numFmtId="38" fontId="3" fillId="0" borderId="16" applyAlignment="1" pivotButton="0" quotePrefix="0" xfId="0">
      <alignment vertical="center"/>
    </xf>
    <xf numFmtId="0" fontId="3" fillId="0" borderId="3" applyAlignment="1" pivotButton="0" quotePrefix="0" xfId="0">
      <alignment horizontal="left" vertical="center" shrinkToFit="1"/>
    </xf>
    <xf numFmtId="0" fontId="0" fillId="0" borderId="53" pivotButton="0" quotePrefix="0" xfId="0"/>
    <xf numFmtId="0" fontId="3" fillId="0" borderId="53" applyAlignment="1" pivotButton="0" quotePrefix="0" xfId="0">
      <alignment vertical="center"/>
    </xf>
    <xf numFmtId="0" fontId="7" fillId="0" borderId="53" applyAlignment="1" pivotButton="0" quotePrefix="0" xfId="0">
      <alignment horizontal="left" vertical="top"/>
    </xf>
    <xf numFmtId="0" fontId="3" fillId="0" borderId="53" applyAlignment="1" pivotButton="0" quotePrefix="0" xfId="0">
      <alignment vertical="top"/>
    </xf>
    <xf numFmtId="38" fontId="8" fillId="0" borderId="53" applyAlignment="1" pivotButton="0" quotePrefix="0" xfId="1">
      <alignment vertical="center"/>
    </xf>
    <xf numFmtId="0" fontId="8" fillId="0" borderId="53" applyAlignment="1" pivotButton="0" quotePrefix="0" xfId="0">
      <alignment vertical="center"/>
    </xf>
    <xf numFmtId="0" fontId="11" fillId="0" borderId="53" applyAlignment="1" pivotButton="0" quotePrefix="0" xfId="0">
      <alignment vertical="top"/>
    </xf>
    <xf numFmtId="0" fontId="8" fillId="0" borderId="53" applyAlignment="1" pivotButton="0" quotePrefix="0" xfId="0">
      <alignment vertical="top"/>
    </xf>
    <xf numFmtId="0" fontId="8" fillId="0" borderId="53" applyAlignment="1" pivotButton="0" quotePrefix="0" xfId="0">
      <alignment horizontal="right" wrapTex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vertical="center"/>
    </xf>
    <xf numFmtId="38" fontId="12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vertical="center" shrinkToFit="1"/>
    </xf>
  </cellXfs>
  <cellStyles count="2">
    <cellStyle name="標準" xfId="0" builtinId="0"/>
    <cellStyle name="桁区切り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74"/>
  <sheetViews>
    <sheetView tabSelected="1" view="pageBreakPreview" zoomScale="79" zoomScaleNormal="55" zoomScaleSheetLayoutView="115" workbookViewId="0">
      <selection activeCell="B4" sqref="B4"/>
    </sheetView>
  </sheetViews>
  <sheetFormatPr baseColWidth="8" defaultRowHeight="15" customHeight="1"/>
  <cols>
    <col width="3.08984375" customWidth="1" style="1" min="1" max="1"/>
    <col width="2.453125" customWidth="1" style="1" min="2" max="2"/>
    <col width="15.08984375" customWidth="1" style="1" min="3" max="3"/>
    <col width="27.1796875" customWidth="1" style="1" min="4" max="4"/>
    <col width="17.36328125" customWidth="1" style="22" min="5" max="5"/>
    <col width="15.453125" bestFit="1" customWidth="1" style="22" min="6" max="6"/>
    <col width="15.453125" customWidth="1" style="22" min="7" max="7"/>
    <col width="15.6328125" customWidth="1" style="1" min="8" max="8"/>
    <col width="10.36328125" customWidth="1" style="1" min="9" max="9"/>
    <col width="2.81640625" customWidth="1" style="1" min="10" max="10"/>
    <col width="8.90625" customWidth="1" style="1" min="11" max="12"/>
    <col hidden="1" width="9" bestFit="1" customWidth="1" style="22" min="13" max="13"/>
    <col hidden="1" width="9.90625" bestFit="1" customWidth="1" style="22" min="14" max="14"/>
    <col width="11.90625" bestFit="1" customWidth="1" style="22" min="15" max="15"/>
    <col width="8.90625" customWidth="1" style="1" min="16" max="16"/>
    <col width="14.36328125" bestFit="1" customWidth="1" style="1" min="17" max="17"/>
    <col width="8.90625" customWidth="1" style="1" min="18" max="253"/>
    <col width="3.1796875" customWidth="1" style="1" min="254" max="254"/>
    <col width="11.36328125" customWidth="1" style="1" min="255" max="255"/>
    <col width="10.1796875" customWidth="1" style="1" min="256" max="256"/>
    <col width="8.90625" customWidth="1" style="1" min="257" max="257"/>
    <col width="9.81640625" customWidth="1" style="1" min="258" max="258"/>
    <col width="9.08984375" bestFit="1" customWidth="1" style="1" min="259" max="259"/>
    <col width="9.08984375" customWidth="1" style="1" min="260" max="260"/>
    <col width="10.453125" bestFit="1" customWidth="1" style="1" min="261" max="261"/>
    <col width="10.36328125" customWidth="1" style="1" min="262" max="262"/>
    <col width="12.1796875" customWidth="1" style="1" min="263" max="263"/>
    <col width="2.81640625" customWidth="1" style="1" min="264" max="264"/>
    <col width="8.90625" customWidth="1" style="1" min="265" max="509"/>
    <col width="3.1796875" customWidth="1" style="1" min="510" max="510"/>
    <col width="11.36328125" customWidth="1" style="1" min="511" max="511"/>
    <col width="10.1796875" customWidth="1" style="1" min="512" max="512"/>
    <col width="8.90625" customWidth="1" style="1" min="513" max="513"/>
    <col width="9.81640625" customWidth="1" style="1" min="514" max="514"/>
    <col width="9.08984375" bestFit="1" customWidth="1" style="1" min="515" max="515"/>
    <col width="9.08984375" customWidth="1" style="1" min="516" max="516"/>
    <col width="10.453125" bestFit="1" customWidth="1" style="1" min="517" max="517"/>
    <col width="10.36328125" customWidth="1" style="1" min="518" max="518"/>
    <col width="12.1796875" customWidth="1" style="1" min="519" max="519"/>
    <col width="2.81640625" customWidth="1" style="1" min="520" max="520"/>
    <col width="8.90625" customWidth="1" style="1" min="521" max="765"/>
    <col width="3.1796875" customWidth="1" style="1" min="766" max="766"/>
    <col width="11.36328125" customWidth="1" style="1" min="767" max="767"/>
    <col width="10.1796875" customWidth="1" style="1" min="768" max="768"/>
    <col width="8.90625" customWidth="1" style="1" min="769" max="769"/>
    <col width="9.81640625" customWidth="1" style="1" min="770" max="770"/>
    <col width="9.08984375" bestFit="1" customWidth="1" style="1" min="771" max="771"/>
    <col width="9.08984375" customWidth="1" style="1" min="772" max="772"/>
    <col width="10.453125" bestFit="1" customWidth="1" style="1" min="773" max="773"/>
    <col width="10.36328125" customWidth="1" style="1" min="774" max="774"/>
    <col width="12.1796875" customWidth="1" style="1" min="775" max="775"/>
    <col width="2.81640625" customWidth="1" style="1" min="776" max="776"/>
    <col width="8.90625" customWidth="1" style="1" min="777" max="1021"/>
    <col width="3.1796875" customWidth="1" style="1" min="1022" max="1022"/>
    <col width="11.36328125" customWidth="1" style="1" min="1023" max="1023"/>
    <col width="10.1796875" customWidth="1" style="1" min="1024" max="1024"/>
    <col width="8.90625" customWidth="1" style="1" min="1025" max="1025"/>
    <col width="9.81640625" customWidth="1" style="1" min="1026" max="1026"/>
    <col width="9.08984375" bestFit="1" customWidth="1" style="1" min="1027" max="1027"/>
    <col width="9.08984375" customWidth="1" style="1" min="1028" max="1028"/>
    <col width="10.453125" bestFit="1" customWidth="1" style="1" min="1029" max="1029"/>
    <col width="10.36328125" customWidth="1" style="1" min="1030" max="1030"/>
    <col width="12.1796875" customWidth="1" style="1" min="1031" max="1031"/>
    <col width="2.81640625" customWidth="1" style="1" min="1032" max="1032"/>
    <col width="8.90625" customWidth="1" style="1" min="1033" max="1277"/>
    <col width="3.1796875" customWidth="1" style="1" min="1278" max="1278"/>
    <col width="11.36328125" customWidth="1" style="1" min="1279" max="1279"/>
    <col width="10.1796875" customWidth="1" style="1" min="1280" max="1280"/>
    <col width="8.90625" customWidth="1" style="1" min="1281" max="1281"/>
    <col width="9.81640625" customWidth="1" style="1" min="1282" max="1282"/>
    <col width="9.08984375" bestFit="1" customWidth="1" style="1" min="1283" max="1283"/>
    <col width="9.08984375" customWidth="1" style="1" min="1284" max="1284"/>
    <col width="10.453125" bestFit="1" customWidth="1" style="1" min="1285" max="1285"/>
    <col width="10.36328125" customWidth="1" style="1" min="1286" max="1286"/>
    <col width="12.1796875" customWidth="1" style="1" min="1287" max="1287"/>
    <col width="2.81640625" customWidth="1" style="1" min="1288" max="1288"/>
    <col width="8.90625" customWidth="1" style="1" min="1289" max="1533"/>
    <col width="3.1796875" customWidth="1" style="1" min="1534" max="1534"/>
    <col width="11.36328125" customWidth="1" style="1" min="1535" max="1535"/>
    <col width="10.1796875" customWidth="1" style="1" min="1536" max="1536"/>
    <col width="8.90625" customWidth="1" style="1" min="1537" max="1537"/>
    <col width="9.81640625" customWidth="1" style="1" min="1538" max="1538"/>
    <col width="9.08984375" bestFit="1" customWidth="1" style="1" min="1539" max="1539"/>
    <col width="9.08984375" customWidth="1" style="1" min="1540" max="1540"/>
    <col width="10.453125" bestFit="1" customWidth="1" style="1" min="1541" max="1541"/>
    <col width="10.36328125" customWidth="1" style="1" min="1542" max="1542"/>
    <col width="12.1796875" customWidth="1" style="1" min="1543" max="1543"/>
    <col width="2.81640625" customWidth="1" style="1" min="1544" max="1544"/>
    <col width="8.90625" customWidth="1" style="1" min="1545" max="1789"/>
    <col width="3.1796875" customWidth="1" style="1" min="1790" max="1790"/>
    <col width="11.36328125" customWidth="1" style="1" min="1791" max="1791"/>
    <col width="10.1796875" customWidth="1" style="1" min="1792" max="1792"/>
    <col width="8.90625" customWidth="1" style="1" min="1793" max="1793"/>
    <col width="9.81640625" customWidth="1" style="1" min="1794" max="1794"/>
    <col width="9.08984375" bestFit="1" customWidth="1" style="1" min="1795" max="1795"/>
    <col width="9.08984375" customWidth="1" style="1" min="1796" max="1796"/>
    <col width="10.453125" bestFit="1" customWidth="1" style="1" min="1797" max="1797"/>
    <col width="10.36328125" customWidth="1" style="1" min="1798" max="1798"/>
    <col width="12.1796875" customWidth="1" style="1" min="1799" max="1799"/>
    <col width="2.81640625" customWidth="1" style="1" min="1800" max="1800"/>
    <col width="8.90625" customWidth="1" style="1" min="1801" max="2045"/>
    <col width="3.1796875" customWidth="1" style="1" min="2046" max="2046"/>
    <col width="11.36328125" customWidth="1" style="1" min="2047" max="2047"/>
    <col width="10.1796875" customWidth="1" style="1" min="2048" max="2048"/>
    <col width="8.90625" customWidth="1" style="1" min="2049" max="2049"/>
    <col width="9.81640625" customWidth="1" style="1" min="2050" max="2050"/>
    <col width="9.08984375" bestFit="1" customWidth="1" style="1" min="2051" max="2051"/>
    <col width="9.08984375" customWidth="1" style="1" min="2052" max="2052"/>
    <col width="10.453125" bestFit="1" customWidth="1" style="1" min="2053" max="2053"/>
    <col width="10.36328125" customWidth="1" style="1" min="2054" max="2054"/>
    <col width="12.1796875" customWidth="1" style="1" min="2055" max="2055"/>
    <col width="2.81640625" customWidth="1" style="1" min="2056" max="2056"/>
    <col width="8.90625" customWidth="1" style="1" min="2057" max="2301"/>
    <col width="3.1796875" customWidth="1" style="1" min="2302" max="2302"/>
    <col width="11.36328125" customWidth="1" style="1" min="2303" max="2303"/>
    <col width="10.1796875" customWidth="1" style="1" min="2304" max="2304"/>
    <col width="8.90625" customWidth="1" style="1" min="2305" max="2305"/>
    <col width="9.81640625" customWidth="1" style="1" min="2306" max="2306"/>
    <col width="9.08984375" bestFit="1" customWidth="1" style="1" min="2307" max="2307"/>
    <col width="9.08984375" customWidth="1" style="1" min="2308" max="2308"/>
    <col width="10.453125" bestFit="1" customWidth="1" style="1" min="2309" max="2309"/>
    <col width="10.36328125" customWidth="1" style="1" min="2310" max="2310"/>
    <col width="12.1796875" customWidth="1" style="1" min="2311" max="2311"/>
    <col width="2.81640625" customWidth="1" style="1" min="2312" max="2312"/>
    <col width="8.90625" customWidth="1" style="1" min="2313" max="2557"/>
    <col width="3.1796875" customWidth="1" style="1" min="2558" max="2558"/>
    <col width="11.36328125" customWidth="1" style="1" min="2559" max="2559"/>
    <col width="10.1796875" customWidth="1" style="1" min="2560" max="2560"/>
    <col width="8.90625" customWidth="1" style="1" min="2561" max="2561"/>
    <col width="9.81640625" customWidth="1" style="1" min="2562" max="2562"/>
    <col width="9.08984375" bestFit="1" customWidth="1" style="1" min="2563" max="2563"/>
    <col width="9.08984375" customWidth="1" style="1" min="2564" max="2564"/>
    <col width="10.453125" bestFit="1" customWidth="1" style="1" min="2565" max="2565"/>
    <col width="10.36328125" customWidth="1" style="1" min="2566" max="2566"/>
    <col width="12.1796875" customWidth="1" style="1" min="2567" max="2567"/>
    <col width="2.81640625" customWidth="1" style="1" min="2568" max="2568"/>
    <col width="8.90625" customWidth="1" style="1" min="2569" max="2813"/>
    <col width="3.1796875" customWidth="1" style="1" min="2814" max="2814"/>
    <col width="11.36328125" customWidth="1" style="1" min="2815" max="2815"/>
    <col width="10.1796875" customWidth="1" style="1" min="2816" max="2816"/>
    <col width="8.90625" customWidth="1" style="1" min="2817" max="2817"/>
    <col width="9.81640625" customWidth="1" style="1" min="2818" max="2818"/>
    <col width="9.08984375" bestFit="1" customWidth="1" style="1" min="2819" max="2819"/>
    <col width="9.08984375" customWidth="1" style="1" min="2820" max="2820"/>
    <col width="10.453125" bestFit="1" customWidth="1" style="1" min="2821" max="2821"/>
    <col width="10.36328125" customWidth="1" style="1" min="2822" max="2822"/>
    <col width="12.1796875" customWidth="1" style="1" min="2823" max="2823"/>
    <col width="2.81640625" customWidth="1" style="1" min="2824" max="2824"/>
    <col width="8.90625" customWidth="1" style="1" min="2825" max="3069"/>
    <col width="3.1796875" customWidth="1" style="1" min="3070" max="3070"/>
    <col width="11.36328125" customWidth="1" style="1" min="3071" max="3071"/>
    <col width="10.1796875" customWidth="1" style="1" min="3072" max="3072"/>
    <col width="8.90625" customWidth="1" style="1" min="3073" max="3073"/>
    <col width="9.81640625" customWidth="1" style="1" min="3074" max="3074"/>
    <col width="9.08984375" bestFit="1" customWidth="1" style="1" min="3075" max="3075"/>
    <col width="9.08984375" customWidth="1" style="1" min="3076" max="3076"/>
    <col width="10.453125" bestFit="1" customWidth="1" style="1" min="3077" max="3077"/>
    <col width="10.36328125" customWidth="1" style="1" min="3078" max="3078"/>
    <col width="12.1796875" customWidth="1" style="1" min="3079" max="3079"/>
    <col width="2.81640625" customWidth="1" style="1" min="3080" max="3080"/>
    <col width="8.90625" customWidth="1" style="1" min="3081" max="3325"/>
    <col width="3.1796875" customWidth="1" style="1" min="3326" max="3326"/>
    <col width="11.36328125" customWidth="1" style="1" min="3327" max="3327"/>
    <col width="10.1796875" customWidth="1" style="1" min="3328" max="3328"/>
    <col width="8.90625" customWidth="1" style="1" min="3329" max="3329"/>
    <col width="9.81640625" customWidth="1" style="1" min="3330" max="3330"/>
    <col width="9.08984375" bestFit="1" customWidth="1" style="1" min="3331" max="3331"/>
    <col width="9.08984375" customWidth="1" style="1" min="3332" max="3332"/>
    <col width="10.453125" bestFit="1" customWidth="1" style="1" min="3333" max="3333"/>
    <col width="10.36328125" customWidth="1" style="1" min="3334" max="3334"/>
    <col width="12.1796875" customWidth="1" style="1" min="3335" max="3335"/>
    <col width="2.81640625" customWidth="1" style="1" min="3336" max="3336"/>
    <col width="8.90625" customWidth="1" style="1" min="3337" max="3581"/>
    <col width="3.1796875" customWidth="1" style="1" min="3582" max="3582"/>
    <col width="11.36328125" customWidth="1" style="1" min="3583" max="3583"/>
    <col width="10.1796875" customWidth="1" style="1" min="3584" max="3584"/>
    <col width="8.90625" customWidth="1" style="1" min="3585" max="3585"/>
    <col width="9.81640625" customWidth="1" style="1" min="3586" max="3586"/>
    <col width="9.08984375" bestFit="1" customWidth="1" style="1" min="3587" max="3587"/>
    <col width="9.08984375" customWidth="1" style="1" min="3588" max="3588"/>
    <col width="10.453125" bestFit="1" customWidth="1" style="1" min="3589" max="3589"/>
    <col width="10.36328125" customWidth="1" style="1" min="3590" max="3590"/>
    <col width="12.1796875" customWidth="1" style="1" min="3591" max="3591"/>
    <col width="2.81640625" customWidth="1" style="1" min="3592" max="3592"/>
    <col width="8.90625" customWidth="1" style="1" min="3593" max="3837"/>
    <col width="3.1796875" customWidth="1" style="1" min="3838" max="3838"/>
    <col width="11.36328125" customWidth="1" style="1" min="3839" max="3839"/>
    <col width="10.1796875" customWidth="1" style="1" min="3840" max="3840"/>
    <col width="8.90625" customWidth="1" style="1" min="3841" max="3841"/>
    <col width="9.81640625" customWidth="1" style="1" min="3842" max="3842"/>
    <col width="9.08984375" bestFit="1" customWidth="1" style="1" min="3843" max="3843"/>
    <col width="9.08984375" customWidth="1" style="1" min="3844" max="3844"/>
    <col width="10.453125" bestFit="1" customWidth="1" style="1" min="3845" max="3845"/>
    <col width="10.36328125" customWidth="1" style="1" min="3846" max="3846"/>
    <col width="12.1796875" customWidth="1" style="1" min="3847" max="3847"/>
    <col width="2.81640625" customWidth="1" style="1" min="3848" max="3848"/>
    <col width="8.90625" customWidth="1" style="1" min="3849" max="4093"/>
    <col width="3.1796875" customWidth="1" style="1" min="4094" max="4094"/>
    <col width="11.36328125" customWidth="1" style="1" min="4095" max="4095"/>
    <col width="10.1796875" customWidth="1" style="1" min="4096" max="4096"/>
    <col width="8.90625" customWidth="1" style="1" min="4097" max="4097"/>
    <col width="9.81640625" customWidth="1" style="1" min="4098" max="4098"/>
    <col width="9.08984375" bestFit="1" customWidth="1" style="1" min="4099" max="4099"/>
    <col width="9.08984375" customWidth="1" style="1" min="4100" max="4100"/>
    <col width="10.453125" bestFit="1" customWidth="1" style="1" min="4101" max="4101"/>
    <col width="10.36328125" customWidth="1" style="1" min="4102" max="4102"/>
    <col width="12.1796875" customWidth="1" style="1" min="4103" max="4103"/>
    <col width="2.81640625" customWidth="1" style="1" min="4104" max="4104"/>
    <col width="8.90625" customWidth="1" style="1" min="4105" max="4349"/>
    <col width="3.1796875" customWidth="1" style="1" min="4350" max="4350"/>
    <col width="11.36328125" customWidth="1" style="1" min="4351" max="4351"/>
    <col width="10.1796875" customWidth="1" style="1" min="4352" max="4352"/>
    <col width="8.90625" customWidth="1" style="1" min="4353" max="4353"/>
    <col width="9.81640625" customWidth="1" style="1" min="4354" max="4354"/>
    <col width="9.08984375" bestFit="1" customWidth="1" style="1" min="4355" max="4355"/>
    <col width="9.08984375" customWidth="1" style="1" min="4356" max="4356"/>
    <col width="10.453125" bestFit="1" customWidth="1" style="1" min="4357" max="4357"/>
    <col width="10.36328125" customWidth="1" style="1" min="4358" max="4358"/>
    <col width="12.1796875" customWidth="1" style="1" min="4359" max="4359"/>
    <col width="2.81640625" customWidth="1" style="1" min="4360" max="4360"/>
    <col width="8.90625" customWidth="1" style="1" min="4361" max="4605"/>
    <col width="3.1796875" customWidth="1" style="1" min="4606" max="4606"/>
    <col width="11.36328125" customWidth="1" style="1" min="4607" max="4607"/>
    <col width="10.1796875" customWidth="1" style="1" min="4608" max="4608"/>
    <col width="8.90625" customWidth="1" style="1" min="4609" max="4609"/>
    <col width="9.81640625" customWidth="1" style="1" min="4610" max="4610"/>
    <col width="9.08984375" bestFit="1" customWidth="1" style="1" min="4611" max="4611"/>
    <col width="9.08984375" customWidth="1" style="1" min="4612" max="4612"/>
    <col width="10.453125" bestFit="1" customWidth="1" style="1" min="4613" max="4613"/>
    <col width="10.36328125" customWidth="1" style="1" min="4614" max="4614"/>
    <col width="12.1796875" customWidth="1" style="1" min="4615" max="4615"/>
    <col width="2.81640625" customWidth="1" style="1" min="4616" max="4616"/>
    <col width="8.90625" customWidth="1" style="1" min="4617" max="4861"/>
    <col width="3.1796875" customWidth="1" style="1" min="4862" max="4862"/>
    <col width="11.36328125" customWidth="1" style="1" min="4863" max="4863"/>
    <col width="10.1796875" customWidth="1" style="1" min="4864" max="4864"/>
    <col width="8.90625" customWidth="1" style="1" min="4865" max="4865"/>
    <col width="9.81640625" customWidth="1" style="1" min="4866" max="4866"/>
    <col width="9.08984375" bestFit="1" customWidth="1" style="1" min="4867" max="4867"/>
    <col width="9.08984375" customWidth="1" style="1" min="4868" max="4868"/>
    <col width="10.453125" bestFit="1" customWidth="1" style="1" min="4869" max="4869"/>
    <col width="10.36328125" customWidth="1" style="1" min="4870" max="4870"/>
    <col width="12.1796875" customWidth="1" style="1" min="4871" max="4871"/>
    <col width="2.81640625" customWidth="1" style="1" min="4872" max="4872"/>
    <col width="8.90625" customWidth="1" style="1" min="4873" max="5117"/>
    <col width="3.1796875" customWidth="1" style="1" min="5118" max="5118"/>
    <col width="11.36328125" customWidth="1" style="1" min="5119" max="5119"/>
    <col width="10.1796875" customWidth="1" style="1" min="5120" max="5120"/>
    <col width="8.90625" customWidth="1" style="1" min="5121" max="5121"/>
    <col width="9.81640625" customWidth="1" style="1" min="5122" max="5122"/>
    <col width="9.08984375" bestFit="1" customWidth="1" style="1" min="5123" max="5123"/>
    <col width="9.08984375" customWidth="1" style="1" min="5124" max="5124"/>
    <col width="10.453125" bestFit="1" customWidth="1" style="1" min="5125" max="5125"/>
    <col width="10.36328125" customWidth="1" style="1" min="5126" max="5126"/>
    <col width="12.1796875" customWidth="1" style="1" min="5127" max="5127"/>
    <col width="2.81640625" customWidth="1" style="1" min="5128" max="5128"/>
    <col width="8.90625" customWidth="1" style="1" min="5129" max="5373"/>
    <col width="3.1796875" customWidth="1" style="1" min="5374" max="5374"/>
    <col width="11.36328125" customWidth="1" style="1" min="5375" max="5375"/>
    <col width="10.1796875" customWidth="1" style="1" min="5376" max="5376"/>
    <col width="8.90625" customWidth="1" style="1" min="5377" max="5377"/>
    <col width="9.81640625" customWidth="1" style="1" min="5378" max="5378"/>
    <col width="9.08984375" bestFit="1" customWidth="1" style="1" min="5379" max="5379"/>
    <col width="9.08984375" customWidth="1" style="1" min="5380" max="5380"/>
    <col width="10.453125" bestFit="1" customWidth="1" style="1" min="5381" max="5381"/>
    <col width="10.36328125" customWidth="1" style="1" min="5382" max="5382"/>
    <col width="12.1796875" customWidth="1" style="1" min="5383" max="5383"/>
    <col width="2.81640625" customWidth="1" style="1" min="5384" max="5384"/>
    <col width="8.90625" customWidth="1" style="1" min="5385" max="5629"/>
    <col width="3.1796875" customWidth="1" style="1" min="5630" max="5630"/>
    <col width="11.36328125" customWidth="1" style="1" min="5631" max="5631"/>
    <col width="10.1796875" customWidth="1" style="1" min="5632" max="5632"/>
    <col width="8.90625" customWidth="1" style="1" min="5633" max="5633"/>
    <col width="9.81640625" customWidth="1" style="1" min="5634" max="5634"/>
    <col width="9.08984375" bestFit="1" customWidth="1" style="1" min="5635" max="5635"/>
    <col width="9.08984375" customWidth="1" style="1" min="5636" max="5636"/>
    <col width="10.453125" bestFit="1" customWidth="1" style="1" min="5637" max="5637"/>
    <col width="10.36328125" customWidth="1" style="1" min="5638" max="5638"/>
    <col width="12.1796875" customWidth="1" style="1" min="5639" max="5639"/>
    <col width="2.81640625" customWidth="1" style="1" min="5640" max="5640"/>
    <col width="8.90625" customWidth="1" style="1" min="5641" max="5885"/>
    <col width="3.1796875" customWidth="1" style="1" min="5886" max="5886"/>
    <col width="11.36328125" customWidth="1" style="1" min="5887" max="5887"/>
    <col width="10.1796875" customWidth="1" style="1" min="5888" max="5888"/>
    <col width="8.90625" customWidth="1" style="1" min="5889" max="5889"/>
    <col width="9.81640625" customWidth="1" style="1" min="5890" max="5890"/>
    <col width="9.08984375" bestFit="1" customWidth="1" style="1" min="5891" max="5891"/>
    <col width="9.08984375" customWidth="1" style="1" min="5892" max="5892"/>
    <col width="10.453125" bestFit="1" customWidth="1" style="1" min="5893" max="5893"/>
    <col width="10.36328125" customWidth="1" style="1" min="5894" max="5894"/>
    <col width="12.1796875" customWidth="1" style="1" min="5895" max="5895"/>
    <col width="2.81640625" customWidth="1" style="1" min="5896" max="5896"/>
    <col width="8.90625" customWidth="1" style="1" min="5897" max="6141"/>
    <col width="3.1796875" customWidth="1" style="1" min="6142" max="6142"/>
    <col width="11.36328125" customWidth="1" style="1" min="6143" max="6143"/>
    <col width="10.1796875" customWidth="1" style="1" min="6144" max="6144"/>
    <col width="8.90625" customWidth="1" style="1" min="6145" max="6145"/>
    <col width="9.81640625" customWidth="1" style="1" min="6146" max="6146"/>
    <col width="9.08984375" bestFit="1" customWidth="1" style="1" min="6147" max="6147"/>
    <col width="9.08984375" customWidth="1" style="1" min="6148" max="6148"/>
    <col width="10.453125" bestFit="1" customWidth="1" style="1" min="6149" max="6149"/>
    <col width="10.36328125" customWidth="1" style="1" min="6150" max="6150"/>
    <col width="12.1796875" customWidth="1" style="1" min="6151" max="6151"/>
    <col width="2.81640625" customWidth="1" style="1" min="6152" max="6152"/>
    <col width="8.90625" customWidth="1" style="1" min="6153" max="6397"/>
    <col width="3.1796875" customWidth="1" style="1" min="6398" max="6398"/>
    <col width="11.36328125" customWidth="1" style="1" min="6399" max="6399"/>
    <col width="10.1796875" customWidth="1" style="1" min="6400" max="6400"/>
    <col width="8.90625" customWidth="1" style="1" min="6401" max="6401"/>
    <col width="9.81640625" customWidth="1" style="1" min="6402" max="6402"/>
    <col width="9.08984375" bestFit="1" customWidth="1" style="1" min="6403" max="6403"/>
    <col width="9.08984375" customWidth="1" style="1" min="6404" max="6404"/>
    <col width="10.453125" bestFit="1" customWidth="1" style="1" min="6405" max="6405"/>
    <col width="10.36328125" customWidth="1" style="1" min="6406" max="6406"/>
    <col width="12.1796875" customWidth="1" style="1" min="6407" max="6407"/>
    <col width="2.81640625" customWidth="1" style="1" min="6408" max="6408"/>
    <col width="8.90625" customWidth="1" style="1" min="6409" max="6653"/>
    <col width="3.1796875" customWidth="1" style="1" min="6654" max="6654"/>
    <col width="11.36328125" customWidth="1" style="1" min="6655" max="6655"/>
    <col width="10.1796875" customWidth="1" style="1" min="6656" max="6656"/>
    <col width="8.90625" customWidth="1" style="1" min="6657" max="6657"/>
    <col width="9.81640625" customWidth="1" style="1" min="6658" max="6658"/>
    <col width="9.08984375" bestFit="1" customWidth="1" style="1" min="6659" max="6659"/>
    <col width="9.08984375" customWidth="1" style="1" min="6660" max="6660"/>
    <col width="10.453125" bestFit="1" customWidth="1" style="1" min="6661" max="6661"/>
    <col width="10.36328125" customWidth="1" style="1" min="6662" max="6662"/>
    <col width="12.1796875" customWidth="1" style="1" min="6663" max="6663"/>
    <col width="2.81640625" customWidth="1" style="1" min="6664" max="6664"/>
    <col width="8.90625" customWidth="1" style="1" min="6665" max="6909"/>
    <col width="3.1796875" customWidth="1" style="1" min="6910" max="6910"/>
    <col width="11.36328125" customWidth="1" style="1" min="6911" max="6911"/>
    <col width="10.1796875" customWidth="1" style="1" min="6912" max="6912"/>
    <col width="8.90625" customWidth="1" style="1" min="6913" max="6913"/>
    <col width="9.81640625" customWidth="1" style="1" min="6914" max="6914"/>
    <col width="9.08984375" bestFit="1" customWidth="1" style="1" min="6915" max="6915"/>
    <col width="9.08984375" customWidth="1" style="1" min="6916" max="6916"/>
    <col width="10.453125" bestFit="1" customWidth="1" style="1" min="6917" max="6917"/>
    <col width="10.36328125" customWidth="1" style="1" min="6918" max="6918"/>
    <col width="12.1796875" customWidth="1" style="1" min="6919" max="6919"/>
    <col width="2.81640625" customWidth="1" style="1" min="6920" max="6920"/>
    <col width="8.90625" customWidth="1" style="1" min="6921" max="7165"/>
    <col width="3.1796875" customWidth="1" style="1" min="7166" max="7166"/>
    <col width="11.36328125" customWidth="1" style="1" min="7167" max="7167"/>
    <col width="10.1796875" customWidth="1" style="1" min="7168" max="7168"/>
    <col width="8.90625" customWidth="1" style="1" min="7169" max="7169"/>
    <col width="9.81640625" customWidth="1" style="1" min="7170" max="7170"/>
    <col width="9.08984375" bestFit="1" customWidth="1" style="1" min="7171" max="7171"/>
    <col width="9.08984375" customWidth="1" style="1" min="7172" max="7172"/>
    <col width="10.453125" bestFit="1" customWidth="1" style="1" min="7173" max="7173"/>
    <col width="10.36328125" customWidth="1" style="1" min="7174" max="7174"/>
    <col width="12.1796875" customWidth="1" style="1" min="7175" max="7175"/>
    <col width="2.81640625" customWidth="1" style="1" min="7176" max="7176"/>
    <col width="8.90625" customWidth="1" style="1" min="7177" max="7421"/>
    <col width="3.1796875" customWidth="1" style="1" min="7422" max="7422"/>
    <col width="11.36328125" customWidth="1" style="1" min="7423" max="7423"/>
    <col width="10.1796875" customWidth="1" style="1" min="7424" max="7424"/>
    <col width="8.90625" customWidth="1" style="1" min="7425" max="7425"/>
    <col width="9.81640625" customWidth="1" style="1" min="7426" max="7426"/>
    <col width="9.08984375" bestFit="1" customWidth="1" style="1" min="7427" max="7427"/>
    <col width="9.08984375" customWidth="1" style="1" min="7428" max="7428"/>
    <col width="10.453125" bestFit="1" customWidth="1" style="1" min="7429" max="7429"/>
    <col width="10.36328125" customWidth="1" style="1" min="7430" max="7430"/>
    <col width="12.1796875" customWidth="1" style="1" min="7431" max="7431"/>
    <col width="2.81640625" customWidth="1" style="1" min="7432" max="7432"/>
    <col width="8.90625" customWidth="1" style="1" min="7433" max="7677"/>
    <col width="3.1796875" customWidth="1" style="1" min="7678" max="7678"/>
    <col width="11.36328125" customWidth="1" style="1" min="7679" max="7679"/>
    <col width="10.1796875" customWidth="1" style="1" min="7680" max="7680"/>
    <col width="8.90625" customWidth="1" style="1" min="7681" max="7681"/>
    <col width="9.81640625" customWidth="1" style="1" min="7682" max="7682"/>
    <col width="9.08984375" bestFit="1" customWidth="1" style="1" min="7683" max="7683"/>
    <col width="9.08984375" customWidth="1" style="1" min="7684" max="7684"/>
    <col width="10.453125" bestFit="1" customWidth="1" style="1" min="7685" max="7685"/>
    <col width="10.36328125" customWidth="1" style="1" min="7686" max="7686"/>
    <col width="12.1796875" customWidth="1" style="1" min="7687" max="7687"/>
    <col width="2.81640625" customWidth="1" style="1" min="7688" max="7688"/>
    <col width="8.90625" customWidth="1" style="1" min="7689" max="7933"/>
    <col width="3.1796875" customWidth="1" style="1" min="7934" max="7934"/>
    <col width="11.36328125" customWidth="1" style="1" min="7935" max="7935"/>
    <col width="10.1796875" customWidth="1" style="1" min="7936" max="7936"/>
    <col width="8.90625" customWidth="1" style="1" min="7937" max="7937"/>
    <col width="9.81640625" customWidth="1" style="1" min="7938" max="7938"/>
    <col width="9.08984375" bestFit="1" customWidth="1" style="1" min="7939" max="7939"/>
    <col width="9.08984375" customWidth="1" style="1" min="7940" max="7940"/>
    <col width="10.453125" bestFit="1" customWidth="1" style="1" min="7941" max="7941"/>
    <col width="10.36328125" customWidth="1" style="1" min="7942" max="7942"/>
    <col width="12.1796875" customWidth="1" style="1" min="7943" max="7943"/>
    <col width="2.81640625" customWidth="1" style="1" min="7944" max="7944"/>
    <col width="8.90625" customWidth="1" style="1" min="7945" max="8189"/>
    <col width="3.1796875" customWidth="1" style="1" min="8190" max="8190"/>
    <col width="11.36328125" customWidth="1" style="1" min="8191" max="8191"/>
    <col width="10.1796875" customWidth="1" style="1" min="8192" max="8192"/>
    <col width="8.90625" customWidth="1" style="1" min="8193" max="8193"/>
    <col width="9.81640625" customWidth="1" style="1" min="8194" max="8194"/>
    <col width="9.08984375" bestFit="1" customWidth="1" style="1" min="8195" max="8195"/>
    <col width="9.08984375" customWidth="1" style="1" min="8196" max="8196"/>
    <col width="10.453125" bestFit="1" customWidth="1" style="1" min="8197" max="8197"/>
    <col width="10.36328125" customWidth="1" style="1" min="8198" max="8198"/>
    <col width="12.1796875" customWidth="1" style="1" min="8199" max="8199"/>
    <col width="2.81640625" customWidth="1" style="1" min="8200" max="8200"/>
    <col width="8.90625" customWidth="1" style="1" min="8201" max="8445"/>
    <col width="3.1796875" customWidth="1" style="1" min="8446" max="8446"/>
    <col width="11.36328125" customWidth="1" style="1" min="8447" max="8447"/>
    <col width="10.1796875" customWidth="1" style="1" min="8448" max="8448"/>
    <col width="8.90625" customWidth="1" style="1" min="8449" max="8449"/>
    <col width="9.81640625" customWidth="1" style="1" min="8450" max="8450"/>
    <col width="9.08984375" bestFit="1" customWidth="1" style="1" min="8451" max="8451"/>
    <col width="9.08984375" customWidth="1" style="1" min="8452" max="8452"/>
    <col width="10.453125" bestFit="1" customWidth="1" style="1" min="8453" max="8453"/>
    <col width="10.36328125" customWidth="1" style="1" min="8454" max="8454"/>
    <col width="12.1796875" customWidth="1" style="1" min="8455" max="8455"/>
    <col width="2.81640625" customWidth="1" style="1" min="8456" max="8456"/>
    <col width="8.90625" customWidth="1" style="1" min="8457" max="8701"/>
    <col width="3.1796875" customWidth="1" style="1" min="8702" max="8702"/>
    <col width="11.36328125" customWidth="1" style="1" min="8703" max="8703"/>
    <col width="10.1796875" customWidth="1" style="1" min="8704" max="8704"/>
    <col width="8.90625" customWidth="1" style="1" min="8705" max="8705"/>
    <col width="9.81640625" customWidth="1" style="1" min="8706" max="8706"/>
    <col width="9.08984375" bestFit="1" customWidth="1" style="1" min="8707" max="8707"/>
    <col width="9.08984375" customWidth="1" style="1" min="8708" max="8708"/>
    <col width="10.453125" bestFit="1" customWidth="1" style="1" min="8709" max="8709"/>
    <col width="10.36328125" customWidth="1" style="1" min="8710" max="8710"/>
    <col width="12.1796875" customWidth="1" style="1" min="8711" max="8711"/>
    <col width="2.81640625" customWidth="1" style="1" min="8712" max="8712"/>
    <col width="8.90625" customWidth="1" style="1" min="8713" max="8957"/>
    <col width="3.1796875" customWidth="1" style="1" min="8958" max="8958"/>
    <col width="11.36328125" customWidth="1" style="1" min="8959" max="8959"/>
    <col width="10.1796875" customWidth="1" style="1" min="8960" max="8960"/>
    <col width="8.90625" customWidth="1" style="1" min="8961" max="8961"/>
    <col width="9.81640625" customWidth="1" style="1" min="8962" max="8962"/>
    <col width="9.08984375" bestFit="1" customWidth="1" style="1" min="8963" max="8963"/>
    <col width="9.08984375" customWidth="1" style="1" min="8964" max="8964"/>
    <col width="10.453125" bestFit="1" customWidth="1" style="1" min="8965" max="8965"/>
    <col width="10.36328125" customWidth="1" style="1" min="8966" max="8966"/>
    <col width="12.1796875" customWidth="1" style="1" min="8967" max="8967"/>
    <col width="2.81640625" customWidth="1" style="1" min="8968" max="8968"/>
    <col width="8.90625" customWidth="1" style="1" min="8969" max="9213"/>
    <col width="3.1796875" customWidth="1" style="1" min="9214" max="9214"/>
    <col width="11.36328125" customWidth="1" style="1" min="9215" max="9215"/>
    <col width="10.1796875" customWidth="1" style="1" min="9216" max="9216"/>
    <col width="8.90625" customWidth="1" style="1" min="9217" max="9217"/>
    <col width="9.81640625" customWidth="1" style="1" min="9218" max="9218"/>
    <col width="9.08984375" bestFit="1" customWidth="1" style="1" min="9219" max="9219"/>
    <col width="9.08984375" customWidth="1" style="1" min="9220" max="9220"/>
    <col width="10.453125" bestFit="1" customWidth="1" style="1" min="9221" max="9221"/>
    <col width="10.36328125" customWidth="1" style="1" min="9222" max="9222"/>
    <col width="12.1796875" customWidth="1" style="1" min="9223" max="9223"/>
    <col width="2.81640625" customWidth="1" style="1" min="9224" max="9224"/>
    <col width="8.90625" customWidth="1" style="1" min="9225" max="9469"/>
    <col width="3.1796875" customWidth="1" style="1" min="9470" max="9470"/>
    <col width="11.36328125" customWidth="1" style="1" min="9471" max="9471"/>
    <col width="10.1796875" customWidth="1" style="1" min="9472" max="9472"/>
    <col width="8.90625" customWidth="1" style="1" min="9473" max="9473"/>
    <col width="9.81640625" customWidth="1" style="1" min="9474" max="9474"/>
    <col width="9.08984375" bestFit="1" customWidth="1" style="1" min="9475" max="9475"/>
    <col width="9.08984375" customWidth="1" style="1" min="9476" max="9476"/>
    <col width="10.453125" bestFit="1" customWidth="1" style="1" min="9477" max="9477"/>
    <col width="10.36328125" customWidth="1" style="1" min="9478" max="9478"/>
    <col width="12.1796875" customWidth="1" style="1" min="9479" max="9479"/>
    <col width="2.81640625" customWidth="1" style="1" min="9480" max="9480"/>
    <col width="8.90625" customWidth="1" style="1" min="9481" max="9725"/>
    <col width="3.1796875" customWidth="1" style="1" min="9726" max="9726"/>
    <col width="11.36328125" customWidth="1" style="1" min="9727" max="9727"/>
    <col width="10.1796875" customWidth="1" style="1" min="9728" max="9728"/>
    <col width="8.90625" customWidth="1" style="1" min="9729" max="9729"/>
    <col width="9.81640625" customWidth="1" style="1" min="9730" max="9730"/>
    <col width="9.08984375" bestFit="1" customWidth="1" style="1" min="9731" max="9731"/>
    <col width="9.08984375" customWidth="1" style="1" min="9732" max="9732"/>
    <col width="10.453125" bestFit="1" customWidth="1" style="1" min="9733" max="9733"/>
    <col width="10.36328125" customWidth="1" style="1" min="9734" max="9734"/>
    <col width="12.1796875" customWidth="1" style="1" min="9735" max="9735"/>
    <col width="2.81640625" customWidth="1" style="1" min="9736" max="9736"/>
    <col width="8.90625" customWidth="1" style="1" min="9737" max="9981"/>
    <col width="3.1796875" customWidth="1" style="1" min="9982" max="9982"/>
    <col width="11.36328125" customWidth="1" style="1" min="9983" max="9983"/>
    <col width="10.1796875" customWidth="1" style="1" min="9984" max="9984"/>
    <col width="8.90625" customWidth="1" style="1" min="9985" max="9985"/>
    <col width="9.81640625" customWidth="1" style="1" min="9986" max="9986"/>
    <col width="9.08984375" bestFit="1" customWidth="1" style="1" min="9987" max="9987"/>
    <col width="9.08984375" customWidth="1" style="1" min="9988" max="9988"/>
    <col width="10.453125" bestFit="1" customWidth="1" style="1" min="9989" max="9989"/>
    <col width="10.36328125" customWidth="1" style="1" min="9990" max="9990"/>
    <col width="12.1796875" customWidth="1" style="1" min="9991" max="9991"/>
    <col width="2.81640625" customWidth="1" style="1" min="9992" max="9992"/>
    <col width="8.90625" customWidth="1" style="1" min="9993" max="10237"/>
    <col width="3.1796875" customWidth="1" style="1" min="10238" max="10238"/>
    <col width="11.36328125" customWidth="1" style="1" min="10239" max="10239"/>
    <col width="10.1796875" customWidth="1" style="1" min="10240" max="10240"/>
    <col width="8.90625" customWidth="1" style="1" min="10241" max="10241"/>
    <col width="9.81640625" customWidth="1" style="1" min="10242" max="10242"/>
    <col width="9.08984375" bestFit="1" customWidth="1" style="1" min="10243" max="10243"/>
    <col width="9.08984375" customWidth="1" style="1" min="10244" max="10244"/>
    <col width="10.453125" bestFit="1" customWidth="1" style="1" min="10245" max="10245"/>
    <col width="10.36328125" customWidth="1" style="1" min="10246" max="10246"/>
    <col width="12.1796875" customWidth="1" style="1" min="10247" max="10247"/>
    <col width="2.81640625" customWidth="1" style="1" min="10248" max="10248"/>
    <col width="8.90625" customWidth="1" style="1" min="10249" max="10493"/>
    <col width="3.1796875" customWidth="1" style="1" min="10494" max="10494"/>
    <col width="11.36328125" customWidth="1" style="1" min="10495" max="10495"/>
    <col width="10.1796875" customWidth="1" style="1" min="10496" max="10496"/>
    <col width="8.90625" customWidth="1" style="1" min="10497" max="10497"/>
    <col width="9.81640625" customWidth="1" style="1" min="10498" max="10498"/>
    <col width="9.08984375" bestFit="1" customWidth="1" style="1" min="10499" max="10499"/>
    <col width="9.08984375" customWidth="1" style="1" min="10500" max="10500"/>
    <col width="10.453125" bestFit="1" customWidth="1" style="1" min="10501" max="10501"/>
    <col width="10.36328125" customWidth="1" style="1" min="10502" max="10502"/>
    <col width="12.1796875" customWidth="1" style="1" min="10503" max="10503"/>
    <col width="2.81640625" customWidth="1" style="1" min="10504" max="10504"/>
    <col width="8.90625" customWidth="1" style="1" min="10505" max="10749"/>
    <col width="3.1796875" customWidth="1" style="1" min="10750" max="10750"/>
    <col width="11.36328125" customWidth="1" style="1" min="10751" max="10751"/>
    <col width="10.1796875" customWidth="1" style="1" min="10752" max="10752"/>
    <col width="8.90625" customWidth="1" style="1" min="10753" max="10753"/>
    <col width="9.81640625" customWidth="1" style="1" min="10754" max="10754"/>
    <col width="9.08984375" bestFit="1" customWidth="1" style="1" min="10755" max="10755"/>
    <col width="9.08984375" customWidth="1" style="1" min="10756" max="10756"/>
    <col width="10.453125" bestFit="1" customWidth="1" style="1" min="10757" max="10757"/>
    <col width="10.36328125" customWidth="1" style="1" min="10758" max="10758"/>
    <col width="12.1796875" customWidth="1" style="1" min="10759" max="10759"/>
    <col width="2.81640625" customWidth="1" style="1" min="10760" max="10760"/>
    <col width="8.90625" customWidth="1" style="1" min="10761" max="11005"/>
    <col width="3.1796875" customWidth="1" style="1" min="11006" max="11006"/>
    <col width="11.36328125" customWidth="1" style="1" min="11007" max="11007"/>
    <col width="10.1796875" customWidth="1" style="1" min="11008" max="11008"/>
    <col width="8.90625" customWidth="1" style="1" min="11009" max="11009"/>
    <col width="9.81640625" customWidth="1" style="1" min="11010" max="11010"/>
    <col width="9.08984375" bestFit="1" customWidth="1" style="1" min="11011" max="11011"/>
    <col width="9.08984375" customWidth="1" style="1" min="11012" max="11012"/>
    <col width="10.453125" bestFit="1" customWidth="1" style="1" min="11013" max="11013"/>
    <col width="10.36328125" customWidth="1" style="1" min="11014" max="11014"/>
    <col width="12.1796875" customWidth="1" style="1" min="11015" max="11015"/>
    <col width="2.81640625" customWidth="1" style="1" min="11016" max="11016"/>
    <col width="8.90625" customWidth="1" style="1" min="11017" max="11261"/>
    <col width="3.1796875" customWidth="1" style="1" min="11262" max="11262"/>
    <col width="11.36328125" customWidth="1" style="1" min="11263" max="11263"/>
    <col width="10.1796875" customWidth="1" style="1" min="11264" max="11264"/>
    <col width="8.90625" customWidth="1" style="1" min="11265" max="11265"/>
    <col width="9.81640625" customWidth="1" style="1" min="11266" max="11266"/>
    <col width="9.08984375" bestFit="1" customWidth="1" style="1" min="11267" max="11267"/>
    <col width="9.08984375" customWidth="1" style="1" min="11268" max="11268"/>
    <col width="10.453125" bestFit="1" customWidth="1" style="1" min="11269" max="11269"/>
    <col width="10.36328125" customWidth="1" style="1" min="11270" max="11270"/>
    <col width="12.1796875" customWidth="1" style="1" min="11271" max="11271"/>
    <col width="2.81640625" customWidth="1" style="1" min="11272" max="11272"/>
    <col width="8.90625" customWidth="1" style="1" min="11273" max="11517"/>
    <col width="3.1796875" customWidth="1" style="1" min="11518" max="11518"/>
    <col width="11.36328125" customWidth="1" style="1" min="11519" max="11519"/>
    <col width="10.1796875" customWidth="1" style="1" min="11520" max="11520"/>
    <col width="8.90625" customWidth="1" style="1" min="11521" max="11521"/>
    <col width="9.81640625" customWidth="1" style="1" min="11522" max="11522"/>
    <col width="9.08984375" bestFit="1" customWidth="1" style="1" min="11523" max="11523"/>
    <col width="9.08984375" customWidth="1" style="1" min="11524" max="11524"/>
    <col width="10.453125" bestFit="1" customWidth="1" style="1" min="11525" max="11525"/>
    <col width="10.36328125" customWidth="1" style="1" min="11526" max="11526"/>
    <col width="12.1796875" customWidth="1" style="1" min="11527" max="11527"/>
    <col width="2.81640625" customWidth="1" style="1" min="11528" max="11528"/>
    <col width="8.90625" customWidth="1" style="1" min="11529" max="11773"/>
    <col width="3.1796875" customWidth="1" style="1" min="11774" max="11774"/>
    <col width="11.36328125" customWidth="1" style="1" min="11775" max="11775"/>
    <col width="10.1796875" customWidth="1" style="1" min="11776" max="11776"/>
    <col width="8.90625" customWidth="1" style="1" min="11777" max="11777"/>
    <col width="9.81640625" customWidth="1" style="1" min="11778" max="11778"/>
    <col width="9.08984375" bestFit="1" customWidth="1" style="1" min="11779" max="11779"/>
    <col width="9.08984375" customWidth="1" style="1" min="11780" max="11780"/>
    <col width="10.453125" bestFit="1" customWidth="1" style="1" min="11781" max="11781"/>
    <col width="10.36328125" customWidth="1" style="1" min="11782" max="11782"/>
    <col width="12.1796875" customWidth="1" style="1" min="11783" max="11783"/>
    <col width="2.81640625" customWidth="1" style="1" min="11784" max="11784"/>
    <col width="8.90625" customWidth="1" style="1" min="11785" max="12029"/>
    <col width="3.1796875" customWidth="1" style="1" min="12030" max="12030"/>
    <col width="11.36328125" customWidth="1" style="1" min="12031" max="12031"/>
    <col width="10.1796875" customWidth="1" style="1" min="12032" max="12032"/>
    <col width="8.90625" customWidth="1" style="1" min="12033" max="12033"/>
    <col width="9.81640625" customWidth="1" style="1" min="12034" max="12034"/>
    <col width="9.08984375" bestFit="1" customWidth="1" style="1" min="12035" max="12035"/>
    <col width="9.08984375" customWidth="1" style="1" min="12036" max="12036"/>
    <col width="10.453125" bestFit="1" customWidth="1" style="1" min="12037" max="12037"/>
    <col width="10.36328125" customWidth="1" style="1" min="12038" max="12038"/>
    <col width="12.1796875" customWidth="1" style="1" min="12039" max="12039"/>
    <col width="2.81640625" customWidth="1" style="1" min="12040" max="12040"/>
    <col width="8.90625" customWidth="1" style="1" min="12041" max="12285"/>
    <col width="3.1796875" customWidth="1" style="1" min="12286" max="12286"/>
    <col width="11.36328125" customWidth="1" style="1" min="12287" max="12287"/>
    <col width="10.1796875" customWidth="1" style="1" min="12288" max="12288"/>
    <col width="8.90625" customWidth="1" style="1" min="12289" max="12289"/>
    <col width="9.81640625" customWidth="1" style="1" min="12290" max="12290"/>
    <col width="9.08984375" bestFit="1" customWidth="1" style="1" min="12291" max="12291"/>
    <col width="9.08984375" customWidth="1" style="1" min="12292" max="12292"/>
    <col width="10.453125" bestFit="1" customWidth="1" style="1" min="12293" max="12293"/>
    <col width="10.36328125" customWidth="1" style="1" min="12294" max="12294"/>
    <col width="12.1796875" customWidth="1" style="1" min="12295" max="12295"/>
    <col width="2.81640625" customWidth="1" style="1" min="12296" max="12296"/>
    <col width="8.90625" customWidth="1" style="1" min="12297" max="12541"/>
    <col width="3.1796875" customWidth="1" style="1" min="12542" max="12542"/>
    <col width="11.36328125" customWidth="1" style="1" min="12543" max="12543"/>
    <col width="10.1796875" customWidth="1" style="1" min="12544" max="12544"/>
    <col width="8.90625" customWidth="1" style="1" min="12545" max="12545"/>
    <col width="9.81640625" customWidth="1" style="1" min="12546" max="12546"/>
    <col width="9.08984375" bestFit="1" customWidth="1" style="1" min="12547" max="12547"/>
    <col width="9.08984375" customWidth="1" style="1" min="12548" max="12548"/>
    <col width="10.453125" bestFit="1" customWidth="1" style="1" min="12549" max="12549"/>
    <col width="10.36328125" customWidth="1" style="1" min="12550" max="12550"/>
    <col width="12.1796875" customWidth="1" style="1" min="12551" max="12551"/>
    <col width="2.81640625" customWidth="1" style="1" min="12552" max="12552"/>
    <col width="8.90625" customWidth="1" style="1" min="12553" max="12797"/>
    <col width="3.1796875" customWidth="1" style="1" min="12798" max="12798"/>
    <col width="11.36328125" customWidth="1" style="1" min="12799" max="12799"/>
    <col width="10.1796875" customWidth="1" style="1" min="12800" max="12800"/>
    <col width="8.90625" customWidth="1" style="1" min="12801" max="12801"/>
    <col width="9.81640625" customWidth="1" style="1" min="12802" max="12802"/>
    <col width="9.08984375" bestFit="1" customWidth="1" style="1" min="12803" max="12803"/>
    <col width="9.08984375" customWidth="1" style="1" min="12804" max="12804"/>
    <col width="10.453125" bestFit="1" customWidth="1" style="1" min="12805" max="12805"/>
    <col width="10.36328125" customWidth="1" style="1" min="12806" max="12806"/>
    <col width="12.1796875" customWidth="1" style="1" min="12807" max="12807"/>
    <col width="2.81640625" customWidth="1" style="1" min="12808" max="12808"/>
    <col width="8.90625" customWidth="1" style="1" min="12809" max="13053"/>
    <col width="3.1796875" customWidth="1" style="1" min="13054" max="13054"/>
    <col width="11.36328125" customWidth="1" style="1" min="13055" max="13055"/>
    <col width="10.1796875" customWidth="1" style="1" min="13056" max="13056"/>
    <col width="8.90625" customWidth="1" style="1" min="13057" max="13057"/>
    <col width="9.81640625" customWidth="1" style="1" min="13058" max="13058"/>
    <col width="9.08984375" bestFit="1" customWidth="1" style="1" min="13059" max="13059"/>
    <col width="9.08984375" customWidth="1" style="1" min="13060" max="13060"/>
    <col width="10.453125" bestFit="1" customWidth="1" style="1" min="13061" max="13061"/>
    <col width="10.36328125" customWidth="1" style="1" min="13062" max="13062"/>
    <col width="12.1796875" customWidth="1" style="1" min="13063" max="13063"/>
    <col width="2.81640625" customWidth="1" style="1" min="13064" max="13064"/>
    <col width="8.90625" customWidth="1" style="1" min="13065" max="13309"/>
    <col width="3.1796875" customWidth="1" style="1" min="13310" max="13310"/>
    <col width="11.36328125" customWidth="1" style="1" min="13311" max="13311"/>
    <col width="10.1796875" customWidth="1" style="1" min="13312" max="13312"/>
    <col width="8.90625" customWidth="1" style="1" min="13313" max="13313"/>
    <col width="9.81640625" customWidth="1" style="1" min="13314" max="13314"/>
    <col width="9.08984375" bestFit="1" customWidth="1" style="1" min="13315" max="13315"/>
    <col width="9.08984375" customWidth="1" style="1" min="13316" max="13316"/>
    <col width="10.453125" bestFit="1" customWidth="1" style="1" min="13317" max="13317"/>
    <col width="10.36328125" customWidth="1" style="1" min="13318" max="13318"/>
    <col width="12.1796875" customWidth="1" style="1" min="13319" max="13319"/>
    <col width="2.81640625" customWidth="1" style="1" min="13320" max="13320"/>
    <col width="8.90625" customWidth="1" style="1" min="13321" max="13565"/>
    <col width="3.1796875" customWidth="1" style="1" min="13566" max="13566"/>
    <col width="11.36328125" customWidth="1" style="1" min="13567" max="13567"/>
    <col width="10.1796875" customWidth="1" style="1" min="13568" max="13568"/>
    <col width="8.90625" customWidth="1" style="1" min="13569" max="13569"/>
    <col width="9.81640625" customWidth="1" style="1" min="13570" max="13570"/>
    <col width="9.08984375" bestFit="1" customWidth="1" style="1" min="13571" max="13571"/>
    <col width="9.08984375" customWidth="1" style="1" min="13572" max="13572"/>
    <col width="10.453125" bestFit="1" customWidth="1" style="1" min="13573" max="13573"/>
    <col width="10.36328125" customWidth="1" style="1" min="13574" max="13574"/>
    <col width="12.1796875" customWidth="1" style="1" min="13575" max="13575"/>
    <col width="2.81640625" customWidth="1" style="1" min="13576" max="13576"/>
    <col width="8.90625" customWidth="1" style="1" min="13577" max="13821"/>
    <col width="3.1796875" customWidth="1" style="1" min="13822" max="13822"/>
    <col width="11.36328125" customWidth="1" style="1" min="13823" max="13823"/>
    <col width="10.1796875" customWidth="1" style="1" min="13824" max="13824"/>
    <col width="8.90625" customWidth="1" style="1" min="13825" max="13825"/>
    <col width="9.81640625" customWidth="1" style="1" min="13826" max="13826"/>
    <col width="9.08984375" bestFit="1" customWidth="1" style="1" min="13827" max="13827"/>
    <col width="9.08984375" customWidth="1" style="1" min="13828" max="13828"/>
    <col width="10.453125" bestFit="1" customWidth="1" style="1" min="13829" max="13829"/>
    <col width="10.36328125" customWidth="1" style="1" min="13830" max="13830"/>
    <col width="12.1796875" customWidth="1" style="1" min="13831" max="13831"/>
    <col width="2.81640625" customWidth="1" style="1" min="13832" max="13832"/>
    <col width="8.90625" customWidth="1" style="1" min="13833" max="14077"/>
    <col width="3.1796875" customWidth="1" style="1" min="14078" max="14078"/>
    <col width="11.36328125" customWidth="1" style="1" min="14079" max="14079"/>
    <col width="10.1796875" customWidth="1" style="1" min="14080" max="14080"/>
    <col width="8.90625" customWidth="1" style="1" min="14081" max="14081"/>
    <col width="9.81640625" customWidth="1" style="1" min="14082" max="14082"/>
    <col width="9.08984375" bestFit="1" customWidth="1" style="1" min="14083" max="14083"/>
    <col width="9.08984375" customWidth="1" style="1" min="14084" max="14084"/>
    <col width="10.453125" bestFit="1" customWidth="1" style="1" min="14085" max="14085"/>
    <col width="10.36328125" customWidth="1" style="1" min="14086" max="14086"/>
    <col width="12.1796875" customWidth="1" style="1" min="14087" max="14087"/>
    <col width="2.81640625" customWidth="1" style="1" min="14088" max="14088"/>
    <col width="8.90625" customWidth="1" style="1" min="14089" max="14333"/>
    <col width="3.1796875" customWidth="1" style="1" min="14334" max="14334"/>
    <col width="11.36328125" customWidth="1" style="1" min="14335" max="14335"/>
    <col width="10.1796875" customWidth="1" style="1" min="14336" max="14336"/>
    <col width="8.90625" customWidth="1" style="1" min="14337" max="14337"/>
    <col width="9.81640625" customWidth="1" style="1" min="14338" max="14338"/>
    <col width="9.08984375" bestFit="1" customWidth="1" style="1" min="14339" max="14339"/>
    <col width="9.08984375" customWidth="1" style="1" min="14340" max="14340"/>
    <col width="10.453125" bestFit="1" customWidth="1" style="1" min="14341" max="14341"/>
    <col width="10.36328125" customWidth="1" style="1" min="14342" max="14342"/>
    <col width="12.1796875" customWidth="1" style="1" min="14343" max="14343"/>
    <col width="2.81640625" customWidth="1" style="1" min="14344" max="14344"/>
    <col width="8.90625" customWidth="1" style="1" min="14345" max="14589"/>
    <col width="3.1796875" customWidth="1" style="1" min="14590" max="14590"/>
    <col width="11.36328125" customWidth="1" style="1" min="14591" max="14591"/>
    <col width="10.1796875" customWidth="1" style="1" min="14592" max="14592"/>
    <col width="8.90625" customWidth="1" style="1" min="14593" max="14593"/>
    <col width="9.81640625" customWidth="1" style="1" min="14594" max="14594"/>
    <col width="9.08984375" bestFit="1" customWidth="1" style="1" min="14595" max="14595"/>
    <col width="9.08984375" customWidth="1" style="1" min="14596" max="14596"/>
    <col width="10.453125" bestFit="1" customWidth="1" style="1" min="14597" max="14597"/>
    <col width="10.36328125" customWidth="1" style="1" min="14598" max="14598"/>
    <col width="12.1796875" customWidth="1" style="1" min="14599" max="14599"/>
    <col width="2.81640625" customWidth="1" style="1" min="14600" max="14600"/>
    <col width="8.90625" customWidth="1" style="1" min="14601" max="14845"/>
    <col width="3.1796875" customWidth="1" style="1" min="14846" max="14846"/>
    <col width="11.36328125" customWidth="1" style="1" min="14847" max="14847"/>
    <col width="10.1796875" customWidth="1" style="1" min="14848" max="14848"/>
    <col width="8.90625" customWidth="1" style="1" min="14849" max="14849"/>
    <col width="9.81640625" customWidth="1" style="1" min="14850" max="14850"/>
    <col width="9.08984375" bestFit="1" customWidth="1" style="1" min="14851" max="14851"/>
    <col width="9.08984375" customWidth="1" style="1" min="14852" max="14852"/>
    <col width="10.453125" bestFit="1" customWidth="1" style="1" min="14853" max="14853"/>
    <col width="10.36328125" customWidth="1" style="1" min="14854" max="14854"/>
    <col width="12.1796875" customWidth="1" style="1" min="14855" max="14855"/>
    <col width="2.81640625" customWidth="1" style="1" min="14856" max="14856"/>
    <col width="8.90625" customWidth="1" style="1" min="14857" max="15101"/>
    <col width="3.1796875" customWidth="1" style="1" min="15102" max="15102"/>
    <col width="11.36328125" customWidth="1" style="1" min="15103" max="15103"/>
    <col width="10.1796875" customWidth="1" style="1" min="15104" max="15104"/>
    <col width="8.90625" customWidth="1" style="1" min="15105" max="15105"/>
    <col width="9.81640625" customWidth="1" style="1" min="15106" max="15106"/>
    <col width="9.08984375" bestFit="1" customWidth="1" style="1" min="15107" max="15107"/>
    <col width="9.08984375" customWidth="1" style="1" min="15108" max="15108"/>
    <col width="10.453125" bestFit="1" customWidth="1" style="1" min="15109" max="15109"/>
    <col width="10.36328125" customWidth="1" style="1" min="15110" max="15110"/>
    <col width="12.1796875" customWidth="1" style="1" min="15111" max="15111"/>
    <col width="2.81640625" customWidth="1" style="1" min="15112" max="15112"/>
    <col width="8.90625" customWidth="1" style="1" min="15113" max="15357"/>
    <col width="3.1796875" customWidth="1" style="1" min="15358" max="15358"/>
    <col width="11.36328125" customWidth="1" style="1" min="15359" max="15359"/>
    <col width="10.1796875" customWidth="1" style="1" min="15360" max="15360"/>
    <col width="8.90625" customWidth="1" style="1" min="15361" max="15361"/>
    <col width="9.81640625" customWidth="1" style="1" min="15362" max="15362"/>
    <col width="9.08984375" bestFit="1" customWidth="1" style="1" min="15363" max="15363"/>
    <col width="9.08984375" customWidth="1" style="1" min="15364" max="15364"/>
    <col width="10.453125" bestFit="1" customWidth="1" style="1" min="15365" max="15365"/>
    <col width="10.36328125" customWidth="1" style="1" min="15366" max="15366"/>
    <col width="12.1796875" customWidth="1" style="1" min="15367" max="15367"/>
    <col width="2.81640625" customWidth="1" style="1" min="15368" max="15368"/>
    <col width="8.90625" customWidth="1" style="1" min="15369" max="15613"/>
    <col width="3.1796875" customWidth="1" style="1" min="15614" max="15614"/>
    <col width="11.36328125" customWidth="1" style="1" min="15615" max="15615"/>
    <col width="10.1796875" customWidth="1" style="1" min="15616" max="15616"/>
    <col width="8.90625" customWidth="1" style="1" min="15617" max="15617"/>
    <col width="9.81640625" customWidth="1" style="1" min="15618" max="15618"/>
    <col width="9.08984375" bestFit="1" customWidth="1" style="1" min="15619" max="15619"/>
    <col width="9.08984375" customWidth="1" style="1" min="15620" max="15620"/>
    <col width="10.453125" bestFit="1" customWidth="1" style="1" min="15621" max="15621"/>
    <col width="10.36328125" customWidth="1" style="1" min="15622" max="15622"/>
    <col width="12.1796875" customWidth="1" style="1" min="15623" max="15623"/>
    <col width="2.81640625" customWidth="1" style="1" min="15624" max="15624"/>
    <col width="8.90625" customWidth="1" style="1" min="15625" max="15869"/>
    <col width="3.1796875" customWidth="1" style="1" min="15870" max="15870"/>
    <col width="11.36328125" customWidth="1" style="1" min="15871" max="15871"/>
    <col width="10.1796875" customWidth="1" style="1" min="15872" max="15872"/>
    <col width="8.90625" customWidth="1" style="1" min="15873" max="15873"/>
    <col width="9.81640625" customWidth="1" style="1" min="15874" max="15874"/>
    <col width="9.08984375" bestFit="1" customWidth="1" style="1" min="15875" max="15875"/>
    <col width="9.08984375" customWidth="1" style="1" min="15876" max="15876"/>
    <col width="10.453125" bestFit="1" customWidth="1" style="1" min="15877" max="15877"/>
    <col width="10.36328125" customWidth="1" style="1" min="15878" max="15878"/>
    <col width="12.1796875" customWidth="1" style="1" min="15879" max="15879"/>
    <col width="2.81640625" customWidth="1" style="1" min="15880" max="15880"/>
    <col width="8.90625" customWidth="1" style="1" min="15881" max="16125"/>
    <col width="3.1796875" customWidth="1" style="1" min="16126" max="16126"/>
    <col width="11.36328125" customWidth="1" style="1" min="16127" max="16127"/>
    <col width="10.1796875" customWidth="1" style="1" min="16128" max="16128"/>
    <col width="8.90625" customWidth="1" style="1" min="16129" max="16129"/>
    <col width="9.81640625" customWidth="1" style="1" min="16130" max="16130"/>
    <col width="9.08984375" bestFit="1" customWidth="1" style="1" min="16131" max="16131"/>
    <col width="9.08984375" customWidth="1" style="1" min="16132" max="16132"/>
    <col width="10.453125" bestFit="1" customWidth="1" style="1" min="16133" max="16133"/>
    <col width="10.36328125" customWidth="1" style="1" min="16134" max="16134"/>
    <col width="12.1796875" customWidth="1" style="1" min="16135" max="16135"/>
    <col width="2.81640625" customWidth="1" style="1" min="16136" max="16136"/>
    <col width="8.90625" customWidth="1" style="1" min="16137" max="16384"/>
  </cols>
  <sheetData>
    <row r="1" ht="30.75" customHeight="1">
      <c r="B1" s="80" t="inlineStr">
        <is>
          <t>御見積書</t>
        </is>
      </c>
    </row>
    <row r="2" ht="24" customHeight="1">
      <c r="B2" s="118" t="n"/>
      <c r="F2" s="19" t="n"/>
      <c r="G2" s="19" t="n"/>
    </row>
    <row r="3" ht="24" customHeight="1" thickBot="1">
      <c r="B3" s="119" t="n"/>
      <c r="C3" s="90" t="n"/>
      <c r="D3" s="90" t="n"/>
      <c r="H3" s="91">
        <f>TODAY()</f>
        <v/>
      </c>
    </row>
    <row r="4" ht="24" customHeight="1">
      <c r="H4" s="134" t="n"/>
    </row>
    <row r="5" ht="17.25" customHeight="1">
      <c r="C5" s="1" t="inlineStr">
        <is>
          <t>いつもお世話になっております。</t>
        </is>
      </c>
    </row>
    <row r="6" ht="17.25" customHeight="1">
      <c r="C6" s="1" t="inlineStr">
        <is>
          <t>下記物品についてお見積り回答いたします。</t>
        </is>
      </c>
      <c r="H6" s="84" t="inlineStr">
        <is>
          <t xml:space="preserve">阪和興業株式会社
名古屋厚板２課　前島
TEL:052-977-3532 
FAX:052-977-3624
MOBILE:090-1893-1472
</t>
        </is>
      </c>
    </row>
    <row r="7" ht="17.25" customHeight="1"/>
    <row r="8" ht="17.25" customHeight="1">
      <c r="B8" s="2" t="n"/>
      <c r="C8" s="137" t="inlineStr">
        <is>
          <t>総計金額（税抜）：￥</t>
        </is>
      </c>
      <c r="D8" s="38">
        <f>G54</f>
        <v/>
      </c>
      <c r="E8" s="22" t="n"/>
    </row>
    <row r="9" ht="17.25" customHeight="1">
      <c r="C9" s="135" t="inlineStr">
        <is>
          <t xml:space="preserve">　（税込10%）：￥</t>
        </is>
      </c>
      <c r="D9" s="136">
        <f>ROUND(D8*1.1,0)</f>
        <v/>
      </c>
    </row>
    <row r="10" ht="17.25" customHeight="1">
      <c r="C10" s="2" t="inlineStr">
        <is>
          <t>品名・物件名：</t>
        </is>
      </c>
      <c r="D10" s="2" t="n"/>
      <c r="E10" s="39" t="n"/>
      <c r="F10" s="39" t="n"/>
    </row>
    <row r="11" ht="17.25" customHeight="1">
      <c r="C11" s="124" t="inlineStr">
        <is>
          <t>受渡場所　及び条件　：貴社車上渡し</t>
        </is>
      </c>
      <c r="D11" s="92" t="n"/>
      <c r="E11" s="39" t="n"/>
      <c r="F11" s="39" t="n"/>
    </row>
    <row r="12" ht="17.25" customHeight="1">
      <c r="C12" s="124" t="inlineStr">
        <is>
          <t>決済条件               ：従来通り</t>
        </is>
      </c>
      <c r="D12" s="92" t="n"/>
      <c r="E12" s="40" t="n"/>
      <c r="F12" s="40" t="n"/>
    </row>
    <row r="13" ht="17.25" customHeight="1">
      <c r="C13" s="73">
        <f>"見積有効期限         ："&amp;TEXT(H3+30,"yyyy年m月d日")</f>
        <v/>
      </c>
      <c r="D13" s="92" t="n"/>
      <c r="E13" s="40" t="n"/>
      <c r="F13" s="40" t="n"/>
      <c r="I13" s="12" t="n"/>
    </row>
    <row r="14" ht="17.25" customHeight="1">
      <c r="C14" s="124" t="inlineStr">
        <is>
          <t>備考：運賃込み価格</t>
        </is>
      </c>
      <c r="D14" s="92" t="n"/>
      <c r="E14" s="40" t="n"/>
      <c r="F14" s="40" t="n"/>
    </row>
    <row r="15" ht="17.25" customHeight="1"/>
    <row r="16" ht="15" customHeight="1" thickBot="1">
      <c r="B16" s="3" t="n"/>
    </row>
    <row r="17" ht="15" customHeight="1">
      <c r="B17" s="74" t="n"/>
      <c r="C17" s="76" t="inlineStr">
        <is>
          <t>品名・規格</t>
        </is>
      </c>
      <c r="D17" s="93" t="n"/>
      <c r="E17" s="94" t="inlineStr">
        <is>
          <t>数量</t>
        </is>
      </c>
      <c r="F17" s="94" t="inlineStr">
        <is>
          <t>単価</t>
        </is>
      </c>
      <c r="G17" s="94" t="inlineStr">
        <is>
          <t>合計(円)</t>
        </is>
      </c>
      <c r="H17" s="95" t="inlineStr">
        <is>
          <t>備考</t>
        </is>
      </c>
      <c r="I17" s="96" t="n"/>
      <c r="M17" s="37" t="n">
        <v>1.09</v>
      </c>
    </row>
    <row r="18" ht="15" customHeight="1" thickBot="1">
      <c r="B18" s="97" t="n"/>
      <c r="C18" s="98" t="n"/>
      <c r="D18" s="99" t="n"/>
      <c r="E18" s="100" t="n"/>
      <c r="F18" s="100" t="n"/>
      <c r="G18" s="100" t="n"/>
      <c r="H18" s="101" t="n"/>
      <c r="I18" s="102" t="n"/>
      <c r="M18" s="15" t="inlineStr">
        <is>
          <t>数量</t>
        </is>
      </c>
      <c r="N18" s="15" t="inlineStr">
        <is>
          <t>単価</t>
        </is>
      </c>
      <c r="O18" s="15" t="inlineStr">
        <is>
          <t>合計</t>
        </is>
      </c>
      <c r="Q18" s="58" t="inlineStr">
        <is>
          <t>利益</t>
        </is>
      </c>
    </row>
    <row r="19">
      <c r="B19" s="74" t="inlineStr">
        <is>
          <t>①</t>
        </is>
      </c>
      <c r="C19" s="103">
        <f>D10</f>
        <v/>
      </c>
      <c r="D19" s="93" t="n"/>
      <c r="E19" s="104" t="n">
        <v>1</v>
      </c>
      <c r="F19" s="104">
        <f>ROUNDUP(N19*$M$17,-3)</f>
        <v/>
      </c>
      <c r="G19" s="104">
        <f>E19*F19</f>
        <v/>
      </c>
      <c r="H19" s="105" t="n"/>
      <c r="I19" s="96" t="n"/>
      <c r="J19" s="120" t="n"/>
      <c r="K19" s="120" t="n"/>
      <c r="L19" s="120" t="n"/>
      <c r="M19" s="41" t="n">
        <v>1</v>
      </c>
      <c r="N19" s="41" t="n"/>
      <c r="O19" s="41">
        <f>M19*N19</f>
        <v/>
      </c>
      <c r="P19" s="120" t="n"/>
      <c r="Q19" s="26">
        <f>G19-O19</f>
        <v/>
      </c>
    </row>
    <row r="20">
      <c r="B20" s="97" t="n"/>
      <c r="C20" s="106" t="n"/>
      <c r="D20" s="107" t="n"/>
      <c r="E20" s="108" t="n"/>
      <c r="F20" s="108" t="n"/>
      <c r="G20" s="108" t="n"/>
      <c r="H20" s="109" t="n"/>
      <c r="I20" s="110" t="n"/>
      <c r="J20" s="120" t="n"/>
      <c r="K20" s="120" t="n"/>
      <c r="L20" s="120" t="n"/>
      <c r="M20" s="41" t="n"/>
      <c r="N20" s="41" t="n"/>
      <c r="O20" s="41" t="n"/>
      <c r="P20" s="120" t="n"/>
      <c r="Q20" s="26" t="n"/>
    </row>
    <row r="21" hidden="1">
      <c r="B21" s="4" t="inlineStr">
        <is>
          <t>②</t>
        </is>
      </c>
      <c r="C21" s="57" t="n"/>
      <c r="D21" s="111" t="n"/>
      <c r="E21" s="15" t="n"/>
      <c r="F21" s="15">
        <f>ROUNDUP(N21*$M$17,-3)</f>
        <v/>
      </c>
      <c r="G21" s="15">
        <f>E21*F21</f>
        <v/>
      </c>
      <c r="H21" s="112" t="n"/>
      <c r="I21" s="113" t="n"/>
      <c r="J21" s="120" t="n"/>
      <c r="K21" s="120" t="n"/>
      <c r="L21" s="120" t="n"/>
      <c r="M21" s="41" t="n"/>
      <c r="N21" s="41" t="n"/>
      <c r="O21" s="41">
        <f>M21*N21</f>
        <v/>
      </c>
      <c r="P21" s="120" t="n"/>
      <c r="Q21" s="26">
        <f>G21-O21</f>
        <v/>
      </c>
    </row>
    <row r="22" hidden="1">
      <c r="B22" s="97" t="n"/>
      <c r="C22" s="109" t="n"/>
      <c r="D22" s="99" t="n"/>
      <c r="E22" s="108" t="n"/>
      <c r="F22" s="108" t="n"/>
      <c r="G22" s="108" t="n"/>
      <c r="H22" s="109" t="n"/>
      <c r="I22" s="110" t="n"/>
      <c r="J22" s="120" t="n"/>
      <c r="K22" s="120" t="n"/>
      <c r="L22" s="120" t="n"/>
      <c r="M22" s="41" t="n"/>
      <c r="N22" s="41" t="n"/>
      <c r="O22" s="41" t="n"/>
      <c r="P22" s="120" t="n"/>
      <c r="Q22" s="26" t="n"/>
    </row>
    <row r="23" hidden="1">
      <c r="B23" s="4" t="inlineStr">
        <is>
          <t>③</t>
        </is>
      </c>
      <c r="C23" s="57" t="n"/>
      <c r="D23" s="111" t="n"/>
      <c r="E23" s="15" t="n"/>
      <c r="F23" s="15">
        <f>ROUNDUP(N23*$M$17,-3)</f>
        <v/>
      </c>
      <c r="G23" s="15">
        <f>E23*F23</f>
        <v/>
      </c>
      <c r="H23" s="112" t="n"/>
      <c r="I23" s="113" t="n"/>
      <c r="J23" s="120" t="n"/>
      <c r="K23" s="120" t="n"/>
      <c r="L23" s="120" t="n"/>
      <c r="M23" s="41" t="n"/>
      <c r="N23" s="41" t="n"/>
      <c r="O23" s="41">
        <f>M23*N23</f>
        <v/>
      </c>
      <c r="P23" s="120" t="n"/>
      <c r="Q23" s="26">
        <f>G23-O23</f>
        <v/>
      </c>
    </row>
    <row r="24" hidden="1">
      <c r="B24" s="97" t="n"/>
      <c r="C24" s="109" t="n"/>
      <c r="D24" s="99" t="n"/>
      <c r="E24" s="108" t="n"/>
      <c r="F24" s="108" t="n"/>
      <c r="G24" s="108" t="n"/>
      <c r="H24" s="109" t="n"/>
      <c r="I24" s="110" t="n"/>
      <c r="J24" s="120" t="n"/>
      <c r="K24" s="120" t="n"/>
      <c r="L24" s="120" t="n"/>
      <c r="M24" s="41" t="n"/>
      <c r="N24" s="41" t="n"/>
      <c r="O24" s="41" t="n"/>
      <c r="P24" s="120" t="n"/>
      <c r="Q24" s="26">
        <f>G24-O24</f>
        <v/>
      </c>
    </row>
    <row r="25" hidden="1">
      <c r="B25" s="4" t="inlineStr">
        <is>
          <t>④</t>
        </is>
      </c>
      <c r="C25" s="57" t="n"/>
      <c r="D25" s="111" t="n"/>
      <c r="E25" s="121" t="n"/>
      <c r="F25" s="121">
        <f>ROUNDUP(N25*$M$17,-3)</f>
        <v/>
      </c>
      <c r="G25" s="121">
        <f>E25*F25</f>
        <v/>
      </c>
      <c r="H25" s="112" t="n"/>
      <c r="I25" s="113" t="n"/>
      <c r="J25" s="120" t="n"/>
      <c r="K25" s="120" t="n"/>
      <c r="L25" s="120" t="n"/>
      <c r="M25" s="122" t="n"/>
      <c r="N25" s="122" t="n"/>
      <c r="O25" s="122">
        <f>M25*N25</f>
        <v/>
      </c>
      <c r="P25" s="120" t="n"/>
      <c r="Q25" s="123">
        <f>G25-O25</f>
        <v/>
      </c>
    </row>
    <row r="26" hidden="1" ht="13.75" customHeight="1" thickBot="1">
      <c r="B26" s="97" t="n"/>
      <c r="C26" s="109" t="n"/>
      <c r="D26" s="99" t="n"/>
      <c r="E26" s="108" t="n"/>
      <c r="F26" s="108" t="n"/>
      <c r="G26" s="108" t="n"/>
      <c r="H26" s="109" t="n"/>
      <c r="I26" s="110" t="n"/>
      <c r="J26" s="120" t="n"/>
      <c r="K26" s="120" t="n"/>
      <c r="L26" s="120" t="n"/>
      <c r="M26" s="122" t="n"/>
      <c r="N26" s="122" t="n"/>
      <c r="O26" s="122" t="n"/>
      <c r="P26" s="120" t="n"/>
      <c r="Q26" s="123" t="n"/>
    </row>
    <row r="27" hidden="1" ht="16" customHeight="1" thickBot="1" thickTop="1">
      <c r="B27" s="4" t="inlineStr">
        <is>
          <t>⑤</t>
        </is>
      </c>
      <c r="C27" s="57" t="n"/>
      <c r="D27" s="111" t="n"/>
      <c r="E27" s="121" t="n"/>
      <c r="F27" s="121">
        <f>ROUNDUP(N27*$M$17,-3)</f>
        <v/>
      </c>
      <c r="G27" s="121">
        <f>E27*F27</f>
        <v/>
      </c>
      <c r="H27" s="112" t="n"/>
      <c r="I27" s="113" t="n"/>
      <c r="J27" s="120" t="n"/>
      <c r="K27" s="120" t="n"/>
      <c r="L27" s="120" t="n"/>
      <c r="M27" s="122" t="n"/>
      <c r="N27" s="122" t="n"/>
      <c r="O27" s="122">
        <f>M27*N27</f>
        <v/>
      </c>
      <c r="P27" s="120" t="n"/>
      <c r="Q27" s="123">
        <f>G27-O27</f>
        <v/>
      </c>
    </row>
    <row r="28" hidden="1" ht="16" customHeight="1">
      <c r="B28" s="97" t="n"/>
      <c r="C28" s="109" t="n"/>
      <c r="D28" s="99" t="n"/>
      <c r="E28" s="108" t="n"/>
      <c r="F28" s="108" t="n"/>
      <c r="G28" s="108" t="n"/>
      <c r="H28" s="109" t="n"/>
      <c r="I28" s="110" t="n"/>
      <c r="J28" s="120" t="n"/>
      <c r="K28" s="120" t="n"/>
      <c r="L28" s="120" t="n"/>
      <c r="M28" s="122" t="n"/>
      <c r="N28" s="122" t="n"/>
      <c r="O28" s="122" t="n"/>
      <c r="P28" s="120" t="n"/>
      <c r="Q28" s="123" t="n"/>
    </row>
    <row r="29" hidden="1" ht="16" customHeight="1">
      <c r="B29" s="4" t="inlineStr">
        <is>
          <t>⑥</t>
        </is>
      </c>
      <c r="C29" s="57" t="n"/>
      <c r="D29" s="111" t="n"/>
      <c r="E29" s="121" t="n"/>
      <c r="F29" s="121">
        <f>ROUNDUP(N29*$M$17,-3)</f>
        <v/>
      </c>
      <c r="G29" s="121">
        <f>E29*F29</f>
        <v/>
      </c>
      <c r="H29" s="112" t="n"/>
      <c r="I29" s="113" t="n"/>
      <c r="J29" s="120" t="n"/>
      <c r="K29" s="120" t="n"/>
      <c r="L29" s="120" t="n"/>
      <c r="M29" s="122" t="n"/>
      <c r="N29" s="122" t="n"/>
      <c r="O29" s="122">
        <f>M29*N29</f>
        <v/>
      </c>
      <c r="P29" s="120" t="n"/>
      <c r="Q29" s="123">
        <f>G29-O29</f>
        <v/>
      </c>
    </row>
    <row r="30" hidden="1" ht="16" customHeight="1">
      <c r="B30" s="97" t="n"/>
      <c r="C30" s="109" t="n"/>
      <c r="D30" s="99" t="n"/>
      <c r="E30" s="108" t="n"/>
      <c r="F30" s="108" t="n"/>
      <c r="G30" s="108" t="n"/>
      <c r="H30" s="109" t="n"/>
      <c r="I30" s="110" t="n"/>
      <c r="J30" s="120" t="n"/>
      <c r="K30" s="120" t="n"/>
      <c r="L30" s="120" t="n"/>
      <c r="M30" s="122" t="n"/>
      <c r="N30" s="122" t="n"/>
      <c r="O30" s="122" t="n"/>
      <c r="P30" s="120" t="n"/>
      <c r="Q30" s="123" t="n"/>
    </row>
    <row r="31" hidden="1" ht="16.25" customHeight="1" thickBot="1">
      <c r="B31" s="4" t="inlineStr">
        <is>
          <t>⑦</t>
        </is>
      </c>
      <c r="C31" s="57" t="n"/>
      <c r="D31" s="111" t="n"/>
      <c r="E31" s="121" t="n"/>
      <c r="F31" s="121">
        <f>ROUNDUP(N31*$M$17,-3)</f>
        <v/>
      </c>
      <c r="G31" s="121">
        <f>E31*F31</f>
        <v/>
      </c>
      <c r="H31" s="112" t="n"/>
      <c r="I31" s="113" t="n"/>
      <c r="J31" s="120" t="n"/>
      <c r="K31" s="120" t="n"/>
      <c r="L31" s="120" t="n"/>
      <c r="M31" s="122" t="n"/>
      <c r="N31" s="122" t="n"/>
      <c r="O31" s="122">
        <f>M31*N31</f>
        <v/>
      </c>
      <c r="P31" s="120" t="n"/>
      <c r="Q31" s="123">
        <f>G31-O31</f>
        <v/>
      </c>
    </row>
    <row r="32" hidden="1" ht="16.25" customHeight="1" thickBot="1">
      <c r="B32" s="97" t="n"/>
      <c r="C32" s="109" t="n"/>
      <c r="D32" s="99" t="n"/>
      <c r="E32" s="108" t="n"/>
      <c r="F32" s="108" t="n"/>
      <c r="G32" s="108" t="n"/>
      <c r="H32" s="109" t="n"/>
      <c r="I32" s="110" t="n"/>
      <c r="J32" s="120" t="n"/>
      <c r="K32" s="120" t="n"/>
      <c r="L32" s="120" t="n"/>
      <c r="M32" s="122" t="n"/>
      <c r="N32" s="122" t="n"/>
      <c r="O32" s="122" t="n"/>
      <c r="P32" s="120" t="n"/>
      <c r="Q32" s="123" t="n"/>
    </row>
    <row r="33" hidden="1" ht="16" customHeight="1">
      <c r="B33" s="4" t="inlineStr">
        <is>
          <t>⑧</t>
        </is>
      </c>
      <c r="C33" s="57" t="n"/>
      <c r="D33" s="111" t="n"/>
      <c r="E33" s="121" t="n"/>
      <c r="F33" s="121">
        <f>ROUNDUP(N33*$M$17,-3)</f>
        <v/>
      </c>
      <c r="G33" s="121">
        <f>E33*F33</f>
        <v/>
      </c>
      <c r="H33" s="112" t="n"/>
      <c r="I33" s="113" t="n"/>
      <c r="J33" s="120" t="n"/>
      <c r="K33" s="120" t="n"/>
      <c r="L33" s="120" t="n"/>
      <c r="M33" s="122" t="n"/>
      <c r="N33" s="122" t="n"/>
      <c r="O33" s="122">
        <f>M33*N33</f>
        <v/>
      </c>
      <c r="P33" s="120" t="n"/>
      <c r="Q33" s="123">
        <f>G33-O33</f>
        <v/>
      </c>
    </row>
    <row r="34" hidden="1" ht="16" customHeight="1">
      <c r="B34" s="97" t="n"/>
      <c r="C34" s="109" t="n"/>
      <c r="D34" s="99" t="n"/>
      <c r="E34" s="108" t="n"/>
      <c r="F34" s="108" t="n"/>
      <c r="G34" s="108" t="n"/>
      <c r="H34" s="109" t="n"/>
      <c r="I34" s="110" t="n"/>
      <c r="J34" s="120" t="n"/>
      <c r="K34" s="120" t="n"/>
      <c r="L34" s="120" t="n"/>
      <c r="M34" s="122" t="n"/>
      <c r="N34" s="122" t="n"/>
      <c r="O34" s="122" t="n"/>
      <c r="P34" s="120" t="n"/>
      <c r="Q34" s="123" t="n"/>
    </row>
    <row r="35" hidden="1" ht="16" customHeight="1">
      <c r="B35" s="4" t="inlineStr">
        <is>
          <t>⑨</t>
        </is>
      </c>
      <c r="C35" s="57" t="n"/>
      <c r="D35" s="111" t="n"/>
      <c r="E35" s="121" t="n"/>
      <c r="F35" s="121">
        <f>ROUNDUP(N35*$M$17,-3)</f>
        <v/>
      </c>
      <c r="G35" s="121">
        <f>E35*F35</f>
        <v/>
      </c>
      <c r="H35" s="112" t="n"/>
      <c r="I35" s="113" t="n"/>
      <c r="J35" s="120" t="n"/>
      <c r="K35" s="120" t="n"/>
      <c r="L35" s="120" t="n"/>
      <c r="M35" s="122" t="n"/>
      <c r="N35" s="122" t="n"/>
      <c r="O35" s="122">
        <f>M35*N35</f>
        <v/>
      </c>
      <c r="P35" s="120" t="n"/>
      <c r="Q35" s="123">
        <f>G35-O35</f>
        <v/>
      </c>
    </row>
    <row r="36" hidden="1" ht="16" customHeight="1">
      <c r="B36" s="97" t="n"/>
      <c r="C36" s="109" t="n"/>
      <c r="D36" s="99" t="n"/>
      <c r="E36" s="108" t="n"/>
      <c r="F36" s="108" t="n"/>
      <c r="G36" s="108" t="n"/>
      <c r="H36" s="109" t="n"/>
      <c r="I36" s="110" t="n"/>
      <c r="J36" s="120" t="n"/>
      <c r="K36" s="120" t="n"/>
      <c r="L36" s="120" t="n"/>
      <c r="M36" s="122" t="n"/>
      <c r="N36" s="122" t="n"/>
      <c r="O36" s="122" t="n"/>
      <c r="P36" s="120" t="n"/>
      <c r="Q36" s="123" t="n"/>
    </row>
    <row r="37" hidden="1" ht="16" customHeight="1">
      <c r="B37" s="4" t="inlineStr">
        <is>
          <t>⑩</t>
        </is>
      </c>
      <c r="C37" s="57" t="n"/>
      <c r="D37" s="111" t="n"/>
      <c r="E37" s="121" t="n"/>
      <c r="F37" s="121">
        <f>ROUNDUP(N37*$M$17,-3)</f>
        <v/>
      </c>
      <c r="G37" s="121">
        <f>E37*F37</f>
        <v/>
      </c>
      <c r="H37" s="112" t="n"/>
      <c r="I37" s="113" t="n"/>
      <c r="J37" s="120" t="n"/>
      <c r="K37" s="120" t="n"/>
      <c r="L37" s="120" t="n"/>
      <c r="M37" s="122" t="n"/>
      <c r="N37" s="122" t="n"/>
      <c r="O37" s="122">
        <f>M37*N37</f>
        <v/>
      </c>
      <c r="P37" s="120" t="n"/>
      <c r="Q37" s="123">
        <f>G37-O37</f>
        <v/>
      </c>
    </row>
    <row r="38" hidden="1" ht="16" customHeight="1">
      <c r="B38" s="97" t="n"/>
      <c r="C38" s="109" t="n"/>
      <c r="D38" s="99" t="n"/>
      <c r="E38" s="108" t="n"/>
      <c r="F38" s="108" t="n"/>
      <c r="G38" s="108" t="n"/>
      <c r="H38" s="109" t="n"/>
      <c r="I38" s="110" t="n"/>
      <c r="J38" s="120" t="n"/>
      <c r="K38" s="120" t="n"/>
      <c r="L38" s="120" t="n"/>
      <c r="M38" s="122" t="n"/>
      <c r="N38" s="122" t="n"/>
      <c r="O38" s="122" t="n"/>
      <c r="P38" s="120" t="n"/>
      <c r="Q38" s="123" t="n"/>
    </row>
    <row r="39" hidden="1" ht="16" customHeight="1">
      <c r="B39" s="4" t="inlineStr">
        <is>
          <t>⑪</t>
        </is>
      </c>
      <c r="C39" s="57" t="n"/>
      <c r="D39" s="111" t="n"/>
      <c r="E39" s="121" t="n"/>
      <c r="F39" s="121">
        <f>ROUNDUP(N39*$M$17,-3)</f>
        <v/>
      </c>
      <c r="G39" s="121">
        <f>E39*F39</f>
        <v/>
      </c>
      <c r="H39" s="112" t="n"/>
      <c r="I39" s="113" t="n"/>
      <c r="J39" s="120" t="n"/>
      <c r="K39" s="120" t="n"/>
      <c r="L39" s="120" t="n"/>
      <c r="M39" s="122" t="n"/>
      <c r="N39" s="122" t="n"/>
      <c r="O39" s="122">
        <f>M39*N39</f>
        <v/>
      </c>
      <c r="P39" s="120" t="n"/>
      <c r="Q39" s="123">
        <f>G39-O39</f>
        <v/>
      </c>
    </row>
    <row r="40" hidden="1" ht="16" customHeight="1">
      <c r="B40" s="97" t="n"/>
      <c r="C40" s="109" t="n"/>
      <c r="D40" s="99" t="n"/>
      <c r="E40" s="108" t="n"/>
      <c r="F40" s="108" t="n"/>
      <c r="G40" s="108" t="n"/>
      <c r="H40" s="109" t="n"/>
      <c r="I40" s="110" t="n"/>
      <c r="J40" s="120" t="n"/>
      <c r="K40" s="120" t="n"/>
      <c r="L40" s="120" t="n"/>
      <c r="M40" s="122" t="n"/>
      <c r="N40" s="122" t="n"/>
      <c r="O40" s="122" t="n"/>
      <c r="P40" s="120" t="n"/>
      <c r="Q40" s="123" t="n"/>
    </row>
    <row r="41" hidden="1" ht="16" customHeight="1">
      <c r="B41" s="4" t="inlineStr">
        <is>
          <t>⑫</t>
        </is>
      </c>
      <c r="C41" s="57" t="n"/>
      <c r="D41" s="111" t="n"/>
      <c r="E41" s="121" t="n"/>
      <c r="F41" s="121">
        <f>ROUNDUP(N41*$M$17,-3)</f>
        <v/>
      </c>
      <c r="G41" s="121">
        <f>E41*F41</f>
        <v/>
      </c>
      <c r="H41" s="112" t="n"/>
      <c r="I41" s="113" t="n"/>
      <c r="J41" s="120" t="n"/>
      <c r="K41" s="120" t="n"/>
      <c r="L41" s="120" t="n"/>
      <c r="M41" s="122" t="n"/>
      <c r="N41" s="122" t="n"/>
      <c r="O41" s="122">
        <f>M41*N41</f>
        <v/>
      </c>
      <c r="P41" s="120" t="n"/>
      <c r="Q41" s="123">
        <f>G41-O41</f>
        <v/>
      </c>
    </row>
    <row r="42" hidden="1" ht="16" customHeight="1">
      <c r="B42" s="97" t="n"/>
      <c r="C42" s="109" t="n"/>
      <c r="D42" s="99" t="n"/>
      <c r="E42" s="108" t="n"/>
      <c r="F42" s="108" t="n"/>
      <c r="G42" s="108" t="n"/>
      <c r="H42" s="109" t="n"/>
      <c r="I42" s="110" t="n"/>
      <c r="J42" s="120" t="n"/>
      <c r="K42" s="120" t="n"/>
      <c r="L42" s="120" t="n"/>
      <c r="M42" s="122" t="n"/>
      <c r="N42" s="122" t="n"/>
      <c r="O42" s="122" t="n"/>
      <c r="P42" s="120" t="n"/>
      <c r="Q42" s="123" t="n"/>
    </row>
    <row r="43" hidden="1" ht="16" customHeight="1">
      <c r="B43" s="4" t="inlineStr">
        <is>
          <t>⑬</t>
        </is>
      </c>
      <c r="C43" s="57" t="n"/>
      <c r="D43" s="111" t="n"/>
      <c r="E43" s="121" t="n"/>
      <c r="F43" s="121">
        <f>ROUNDUP(N43*$M$17,-3)</f>
        <v/>
      </c>
      <c r="G43" s="121">
        <f>E43*F43</f>
        <v/>
      </c>
      <c r="H43" s="112" t="n"/>
      <c r="I43" s="113" t="n"/>
      <c r="J43" s="120" t="n"/>
      <c r="K43" s="120" t="n"/>
      <c r="L43" s="120" t="n"/>
      <c r="M43" s="122" t="n"/>
      <c r="N43" s="122" t="n"/>
      <c r="O43" s="122">
        <f>M43*N43</f>
        <v/>
      </c>
      <c r="P43" s="120" t="n"/>
      <c r="Q43" s="123">
        <f>G43-O43</f>
        <v/>
      </c>
    </row>
    <row r="44" hidden="1" ht="16" customHeight="1">
      <c r="B44" s="97" t="n"/>
      <c r="C44" s="109" t="n"/>
      <c r="D44" s="99" t="n"/>
      <c r="E44" s="108" t="n"/>
      <c r="F44" s="108" t="n"/>
      <c r="G44" s="108" t="n"/>
      <c r="H44" s="109" t="n"/>
      <c r="I44" s="110" t="n"/>
      <c r="J44" s="120" t="n"/>
      <c r="K44" s="120" t="n"/>
      <c r="L44" s="120" t="n"/>
      <c r="M44" s="122" t="n"/>
      <c r="N44" s="122" t="n"/>
      <c r="O44" s="122" t="n"/>
      <c r="P44" s="120" t="n"/>
      <c r="Q44" s="123" t="n"/>
    </row>
    <row r="45" hidden="1" ht="16" customHeight="1">
      <c r="B45" s="4" t="inlineStr">
        <is>
          <t>⑭</t>
        </is>
      </c>
      <c r="C45" s="57" t="n"/>
      <c r="D45" s="111" t="n"/>
      <c r="E45" s="121" t="n"/>
      <c r="F45" s="121">
        <f>ROUNDUP(N45*$M$17,-3)</f>
        <v/>
      </c>
      <c r="G45" s="121">
        <f>E45*F45</f>
        <v/>
      </c>
      <c r="H45" s="112" t="n"/>
      <c r="I45" s="113" t="n"/>
      <c r="J45" s="120" t="n"/>
      <c r="K45" s="120" t="n"/>
      <c r="L45" s="120" t="n"/>
      <c r="M45" s="122" t="n"/>
      <c r="N45" s="122" t="n"/>
      <c r="O45" s="122">
        <f>M45*N45</f>
        <v/>
      </c>
      <c r="P45" s="120" t="n"/>
      <c r="Q45" s="123">
        <f>G45-O45</f>
        <v/>
      </c>
    </row>
    <row r="46" hidden="1" ht="16.5" customHeight="1" thickBot="1">
      <c r="B46" s="97" t="n"/>
      <c r="C46" s="109" t="n"/>
      <c r="D46" s="99" t="n"/>
      <c r="E46" s="108" t="n"/>
      <c r="F46" s="108" t="n"/>
      <c r="G46" s="108" t="n"/>
      <c r="H46" s="109" t="n"/>
      <c r="I46" s="110" t="n"/>
      <c r="J46" s="120" t="n"/>
      <c r="K46" s="120" t="n"/>
      <c r="L46" s="120" t="n"/>
      <c r="M46" s="122" t="n"/>
      <c r="N46" s="122" t="n"/>
      <c r="O46" s="122" t="n"/>
      <c r="P46" s="120" t="n"/>
      <c r="Q46" s="123" t="n"/>
    </row>
    <row r="47" hidden="1">
      <c r="B47" s="4" t="inlineStr">
        <is>
          <t>⑮</t>
        </is>
      </c>
      <c r="C47" s="57" t="n"/>
      <c r="D47" s="111" t="n"/>
      <c r="E47" s="121" t="n"/>
      <c r="F47" s="121">
        <f>ROUNDUP(N47*$M$17,-3)</f>
        <v/>
      </c>
      <c r="G47" s="121">
        <f>E47*F47</f>
        <v/>
      </c>
      <c r="H47" s="112" t="n"/>
      <c r="I47" s="113" t="n"/>
      <c r="J47" s="120" t="n"/>
      <c r="K47" s="120" t="n"/>
      <c r="L47" s="120" t="n"/>
      <c r="M47" s="122" t="n"/>
      <c r="N47" s="122" t="n"/>
      <c r="O47" s="122">
        <f>M47*N47</f>
        <v/>
      </c>
      <c r="P47" s="120" t="n"/>
      <c r="Q47" s="123">
        <f>G47-O47</f>
        <v/>
      </c>
    </row>
    <row r="48" hidden="1">
      <c r="B48" s="97" t="n"/>
      <c r="C48" s="109" t="n"/>
      <c r="D48" s="99" t="n"/>
      <c r="E48" s="108" t="n"/>
      <c r="F48" s="108" t="n"/>
      <c r="G48" s="108" t="n"/>
      <c r="H48" s="109" t="n"/>
      <c r="I48" s="110" t="n"/>
      <c r="J48" s="120" t="n"/>
      <c r="K48" s="120" t="n"/>
      <c r="L48" s="120" t="n"/>
      <c r="M48" s="122" t="n"/>
      <c r="N48" s="122" t="n"/>
      <c r="O48" s="122" t="n"/>
      <c r="P48" s="120" t="n"/>
      <c r="Q48" s="123" t="n"/>
    </row>
    <row r="49" hidden="1">
      <c r="B49" s="4" t="inlineStr">
        <is>
          <t>⑯</t>
        </is>
      </c>
      <c r="C49" s="57" t="n"/>
      <c r="D49" s="111" t="n"/>
      <c r="E49" s="121" t="n"/>
      <c r="F49" s="121">
        <f>ROUNDUP(N49*$M$17,-3)</f>
        <v/>
      </c>
      <c r="G49" s="121">
        <f>E49*F49</f>
        <v/>
      </c>
      <c r="H49" s="112" t="n"/>
      <c r="I49" s="113" t="n"/>
      <c r="J49" s="120" t="n"/>
      <c r="K49" s="120" t="n"/>
      <c r="L49" s="120" t="n"/>
      <c r="M49" s="122" t="n"/>
      <c r="N49" s="122" t="n"/>
      <c r="O49" s="122">
        <f>M49*N49</f>
        <v/>
      </c>
      <c r="P49" s="120" t="n"/>
      <c r="Q49" s="123">
        <f>G49-O49</f>
        <v/>
      </c>
    </row>
    <row r="50" hidden="1">
      <c r="B50" s="97" t="n"/>
      <c r="C50" s="109" t="n"/>
      <c r="D50" s="99" t="n"/>
      <c r="E50" s="108" t="n"/>
      <c r="F50" s="108" t="n"/>
      <c r="G50" s="108" t="n"/>
      <c r="H50" s="109" t="n"/>
      <c r="I50" s="110" t="n"/>
      <c r="J50" s="120" t="n"/>
      <c r="K50" s="120" t="n"/>
      <c r="L50" s="120" t="n"/>
      <c r="M50" s="122" t="n"/>
      <c r="N50" s="122" t="n"/>
      <c r="O50" s="122" t="n"/>
      <c r="P50" s="120" t="n"/>
      <c r="Q50" s="123" t="n"/>
    </row>
    <row r="51" hidden="1">
      <c r="B51" s="4" t="inlineStr">
        <is>
          <t>⑰</t>
        </is>
      </c>
      <c r="C51" s="57" t="n"/>
      <c r="D51" s="111" t="n"/>
      <c r="E51" s="121" t="n"/>
      <c r="F51" s="121">
        <f>ROUNDUP(N51*$M$17,-3)</f>
        <v/>
      </c>
      <c r="G51" s="121">
        <f>E51*F51</f>
        <v/>
      </c>
      <c r="H51" s="112" t="n"/>
      <c r="I51" s="113" t="n"/>
      <c r="J51" s="120" t="n"/>
      <c r="K51" s="120" t="n"/>
      <c r="L51" s="120" t="n"/>
      <c r="M51" s="122" t="n"/>
      <c r="N51" s="122" t="n"/>
      <c r="O51" s="122">
        <f>M51*N51</f>
        <v/>
      </c>
      <c r="P51" s="120" t="n"/>
      <c r="Q51" s="123">
        <f>G51-O51</f>
        <v/>
      </c>
    </row>
    <row r="52" hidden="1">
      <c r="B52" s="97" t="n"/>
      <c r="C52" s="109" t="n"/>
      <c r="D52" s="99" t="n"/>
      <c r="E52" s="108" t="n"/>
      <c r="F52" s="108" t="n"/>
      <c r="G52" s="108" t="n"/>
      <c r="H52" s="109" t="n"/>
      <c r="I52" s="110" t="n"/>
      <c r="J52" s="120" t="n"/>
      <c r="K52" s="120" t="n"/>
      <c r="L52" s="120" t="n"/>
      <c r="M52" s="122" t="n"/>
      <c r="N52" s="122" t="n"/>
      <c r="O52" s="122" t="n"/>
      <c r="P52" s="120" t="n"/>
      <c r="Q52" s="123" t="n"/>
    </row>
    <row r="53" hidden="1">
      <c r="B53" s="4" t="inlineStr">
        <is>
          <t>⑱</t>
        </is>
      </c>
      <c r="C53" s="45" t="inlineStr">
        <is>
          <t>運賃</t>
        </is>
      </c>
      <c r="D53" s="92" t="n"/>
      <c r="E53" s="15" t="n">
        <v>1</v>
      </c>
      <c r="F53" s="28" t="n"/>
      <c r="G53" s="28">
        <f>E53*F53</f>
        <v/>
      </c>
      <c r="H53" s="112" t="n"/>
      <c r="I53" s="114" t="n"/>
      <c r="J53" s="120" t="n"/>
      <c r="K53" s="120" t="n"/>
      <c r="L53" s="120" t="n"/>
      <c r="M53" s="41" t="n">
        <v>1</v>
      </c>
      <c r="N53" s="41" t="n"/>
      <c r="O53" s="41">
        <f>M53*N53</f>
        <v/>
      </c>
      <c r="P53" s="85" t="inlineStr">
        <is>
          <t>運賃</t>
        </is>
      </c>
      <c r="Q53" s="26">
        <f>G53-O53</f>
        <v/>
      </c>
    </row>
    <row r="54" ht="13.75" customHeight="1">
      <c r="B54" s="21" t="n"/>
      <c r="C54" s="86" t="n"/>
      <c r="D54" s="115" t="n"/>
      <c r="E54" s="16" t="n"/>
      <c r="F54" s="14" t="inlineStr">
        <is>
          <t>合計</t>
        </is>
      </c>
      <c r="G54" s="14">
        <f>SUM(G19:G53)</f>
        <v/>
      </c>
      <c r="H54" s="116" t="n"/>
      <c r="I54" s="117" t="n"/>
      <c r="J54" s="120" t="n"/>
      <c r="K54" s="120" t="n"/>
      <c r="L54" s="120" t="n"/>
      <c r="M54" s="120" t="n"/>
      <c r="N54" s="120" t="n"/>
      <c r="O54" s="120" t="n"/>
      <c r="P54" s="120" t="n"/>
      <c r="Q54" s="35">
        <f>SUM(Q19:Q53)</f>
        <v/>
      </c>
    </row>
    <row r="55">
      <c r="B55" s="5" t="n"/>
      <c r="C55" s="3" t="n"/>
      <c r="D55" s="3" t="n"/>
      <c r="E55" s="17" t="n"/>
      <c r="F55" s="17" t="n"/>
      <c r="G55" s="17" t="n"/>
      <c r="H55" s="3" t="n"/>
      <c r="I55" s="6" t="n"/>
    </row>
    <row r="56" ht="16" customHeight="1">
      <c r="B56" s="7" t="n"/>
      <c r="C56" s="36" t="inlineStr">
        <is>
          <t>備考</t>
        </is>
      </c>
      <c r="D56" s="29" t="n"/>
      <c r="E56" s="18" t="n"/>
      <c r="F56" s="18" t="n"/>
      <c r="G56" s="18" t="n"/>
      <c r="H56" s="8" t="n"/>
      <c r="I56" s="9" t="n"/>
    </row>
    <row r="57" ht="16" customHeight="1">
      <c r="B57" s="10" t="n"/>
      <c r="C57" s="31" t="n"/>
      <c r="D57" s="29" t="n"/>
      <c r="E57" s="34" t="n"/>
      <c r="F57" s="34" t="n"/>
      <c r="G57" s="34" t="n"/>
      <c r="H57" s="29" t="n"/>
      <c r="I57" s="11" t="n"/>
    </row>
    <row r="58" ht="16" customHeight="1">
      <c r="B58" s="10" t="n"/>
      <c r="C58" s="31" t="n"/>
      <c r="D58" s="29" t="n"/>
      <c r="E58" s="34" t="n"/>
      <c r="F58" s="34" t="n"/>
      <c r="G58" s="34" t="n"/>
      <c r="H58" s="29" t="n"/>
      <c r="I58" s="11" t="n"/>
    </row>
    <row r="59" ht="16" customHeight="1">
      <c r="B59" s="10" t="n"/>
      <c r="C59" s="30" t="n"/>
      <c r="D59" s="31" t="n"/>
      <c r="E59" s="31" t="n"/>
      <c r="F59" s="31" t="n"/>
      <c r="G59" s="31" t="n"/>
      <c r="H59" s="31" t="n"/>
      <c r="I59" s="11" t="n"/>
    </row>
    <row r="60" ht="16" customHeight="1">
      <c r="B60" s="10" t="n"/>
      <c r="C60" s="32" t="n"/>
      <c r="D60" s="31" t="n"/>
      <c r="E60" s="31" t="n"/>
      <c r="F60" s="31" t="n"/>
      <c r="G60" s="31" t="n"/>
      <c r="H60" s="31" t="n"/>
      <c r="I60" s="11" t="n"/>
    </row>
    <row r="61" hidden="1" ht="16" customHeight="1">
      <c r="B61" s="10" t="n"/>
      <c r="C61" s="32" t="n"/>
      <c r="D61" s="33" t="n"/>
      <c r="E61" s="33" t="n"/>
      <c r="F61" s="34" t="n"/>
      <c r="G61" s="34" t="n"/>
      <c r="H61" s="29" t="n"/>
      <c r="I61" s="11" t="n"/>
    </row>
    <row r="62" hidden="1" ht="16" customHeight="1">
      <c r="B62" s="10" t="n"/>
      <c r="C62" s="89" t="n"/>
      <c r="D62" s="33" t="n"/>
      <c r="E62" s="33" t="n"/>
      <c r="F62" s="34" t="n"/>
      <c r="G62" s="34" t="n"/>
      <c r="H62" s="29" t="n"/>
      <c r="I62" s="11" t="n"/>
    </row>
    <row r="63" hidden="1" ht="16" customHeight="1">
      <c r="B63" s="10" t="n"/>
      <c r="C63" s="31" t="n"/>
      <c r="D63" s="33" t="n"/>
      <c r="E63" s="33" t="n"/>
      <c r="F63" s="34" t="n"/>
      <c r="G63" s="34" t="n"/>
      <c r="H63" s="29" t="n"/>
      <c r="I63" s="11" t="n"/>
    </row>
    <row r="64" hidden="1" ht="16" customHeight="1">
      <c r="B64" s="10" t="n"/>
      <c r="C64" s="31" t="n"/>
      <c r="D64" s="33" t="n"/>
      <c r="E64" s="33" t="n"/>
      <c r="F64" s="34" t="n"/>
      <c r="G64" s="34" t="n"/>
      <c r="H64" s="29" t="n"/>
      <c r="I64" s="11" t="n"/>
    </row>
    <row r="65" hidden="1" ht="16" customHeight="1">
      <c r="B65" s="10" t="n"/>
      <c r="C65" s="32" t="n"/>
      <c r="D65" s="33" t="n"/>
      <c r="E65" s="33" t="n"/>
      <c r="F65" s="34" t="n"/>
      <c r="G65" s="34" t="n"/>
      <c r="H65" s="29" t="n"/>
      <c r="I65" s="11" t="n"/>
    </row>
    <row r="66" hidden="1" ht="16" customHeight="1">
      <c r="B66" s="10" t="n"/>
      <c r="D66" s="33" t="n"/>
      <c r="E66" s="33" t="n"/>
      <c r="F66" s="34" t="n"/>
      <c r="G66" s="34" t="n"/>
      <c r="H66" s="29" t="n"/>
      <c r="I66" s="11" t="n"/>
    </row>
    <row r="67" hidden="1" ht="16" customHeight="1">
      <c r="B67" s="10" t="n"/>
      <c r="C67" s="32" t="n"/>
      <c r="D67" s="33" t="n"/>
      <c r="E67" s="33" t="n"/>
      <c r="F67" s="34" t="n"/>
      <c r="G67" s="34" t="n"/>
      <c r="H67" s="29" t="n"/>
      <c r="I67" s="11" t="n"/>
    </row>
    <row r="68">
      <c r="A68" s="125" t="n"/>
      <c r="B68" s="126" t="n"/>
      <c r="C68" s="127" t="n"/>
      <c r="D68" s="128" t="n"/>
      <c r="E68" s="128" t="n"/>
      <c r="F68" s="129" t="n"/>
      <c r="G68" s="129" t="n"/>
      <c r="H68" s="130" t="n"/>
      <c r="I68" s="130" t="n"/>
      <c r="J68" s="125" t="n"/>
    </row>
    <row r="69">
      <c r="A69" s="125" t="n"/>
      <c r="B69" s="126" t="n"/>
      <c r="C69" s="127" t="n"/>
      <c r="D69" s="128" t="n"/>
      <c r="E69" s="128" t="n"/>
      <c r="F69" s="129" t="n"/>
      <c r="G69" s="129" t="n"/>
      <c r="H69" s="130" t="n"/>
      <c r="I69" s="130" t="n"/>
      <c r="J69" s="125" t="n"/>
    </row>
    <row r="70">
      <c r="A70" s="125" t="n"/>
      <c r="B70" s="126" t="n"/>
      <c r="C70" s="127" t="n"/>
      <c r="D70" s="128" t="n"/>
      <c r="E70" s="128" t="n"/>
      <c r="F70" s="129" t="n"/>
      <c r="G70" s="129" t="n"/>
      <c r="H70" s="130" t="n"/>
      <c r="I70" s="130" t="n"/>
      <c r="J70" s="125" t="n"/>
    </row>
    <row r="71">
      <c r="A71" s="125" t="n"/>
      <c r="B71" s="126" t="n"/>
      <c r="C71" s="127" t="n"/>
      <c r="D71" s="128" t="n"/>
      <c r="E71" s="128" t="n"/>
      <c r="F71" s="129" t="n"/>
      <c r="G71" s="129" t="n"/>
      <c r="H71" s="130" t="n"/>
      <c r="I71" s="130" t="n"/>
      <c r="J71" s="125" t="n"/>
    </row>
    <row r="72">
      <c r="A72" s="125" t="n"/>
      <c r="B72" s="126" t="n"/>
      <c r="C72" s="127" t="n"/>
      <c r="D72" s="128" t="n"/>
      <c r="E72" s="128" t="n"/>
      <c r="F72" s="129" t="n"/>
      <c r="G72" s="129" t="n"/>
      <c r="H72" s="130" t="n"/>
      <c r="I72" s="130" t="n"/>
      <c r="J72" s="125" t="n"/>
    </row>
    <row r="73">
      <c r="A73" s="125" t="n"/>
      <c r="B73" s="126" t="n"/>
      <c r="C73" s="127" t="n"/>
      <c r="D73" s="128" t="n"/>
      <c r="E73" s="128" t="n"/>
      <c r="F73" s="129" t="n"/>
      <c r="G73" s="129" t="n"/>
      <c r="H73" s="130" t="n"/>
      <c r="I73" s="130" t="n"/>
      <c r="J73" s="125" t="n"/>
    </row>
    <row r="74">
      <c r="A74" s="125" t="n"/>
      <c r="B74" s="126" t="n"/>
      <c r="C74" s="131" t="n"/>
      <c r="D74" s="132" t="n"/>
      <c r="E74" s="132" t="n"/>
      <c r="F74" s="133" t="n"/>
      <c r="G74" s="125" t="n"/>
      <c r="H74" s="125" t="n"/>
      <c r="I74" s="125" t="n"/>
      <c r="J74" s="125" t="n"/>
    </row>
  </sheetData>
  <mergeCells count="122">
    <mergeCell ref="C47:D48"/>
    <mergeCell ref="H17:I18"/>
    <mergeCell ref="H53:I53"/>
    <mergeCell ref="E39:E40"/>
    <mergeCell ref="B43:B44"/>
    <mergeCell ref="C31:D32"/>
    <mergeCell ref="B1:J1"/>
    <mergeCell ref="E23:E24"/>
    <mergeCell ref="C23:D24"/>
    <mergeCell ref="H19:I20"/>
    <mergeCell ref="B29:B30"/>
    <mergeCell ref="C51:D52"/>
    <mergeCell ref="B23:B24"/>
    <mergeCell ref="F45:F46"/>
    <mergeCell ref="C54:D54"/>
    <mergeCell ref="F47:F48"/>
    <mergeCell ref="E49:E50"/>
    <mergeCell ref="G49:G50"/>
    <mergeCell ref="B37:B38"/>
    <mergeCell ref="F31:F32"/>
    <mergeCell ref="G33:G34"/>
    <mergeCell ref="G51:G52"/>
    <mergeCell ref="C49:D50"/>
    <mergeCell ref="F37:F38"/>
    <mergeCell ref="E41:E42"/>
    <mergeCell ref="G41:G42"/>
    <mergeCell ref="G35:G36"/>
    <mergeCell ref="H29:I30"/>
    <mergeCell ref="C33:D34"/>
    <mergeCell ref="E25:E26"/>
    <mergeCell ref="H21:I22"/>
    <mergeCell ref="E21:E22"/>
    <mergeCell ref="G21:G22"/>
    <mergeCell ref="B25:B26"/>
    <mergeCell ref="H31:I32"/>
    <mergeCell ref="C35:D36"/>
    <mergeCell ref="B35:B36"/>
    <mergeCell ref="C25:D26"/>
    <mergeCell ref="B27:B28"/>
    <mergeCell ref="H51:I52"/>
    <mergeCell ref="H6:I11"/>
    <mergeCell ref="G23:G24"/>
    <mergeCell ref="C21:D22"/>
    <mergeCell ref="H54:I54"/>
    <mergeCell ref="B17:B18"/>
    <mergeCell ref="C14:D14"/>
    <mergeCell ref="G39:G40"/>
    <mergeCell ref="F35:F36"/>
    <mergeCell ref="C39:D40"/>
    <mergeCell ref="F33:F34"/>
    <mergeCell ref="E31:E32"/>
    <mergeCell ref="E27:E28"/>
    <mergeCell ref="H33:I34"/>
    <mergeCell ref="G25:G26"/>
    <mergeCell ref="H35:I36"/>
    <mergeCell ref="H3:I3"/>
    <mergeCell ref="B45:B46"/>
    <mergeCell ref="G27:G28"/>
    <mergeCell ref="H39:I40"/>
    <mergeCell ref="C53:D53"/>
    <mergeCell ref="B31:B32"/>
    <mergeCell ref="C41:D42"/>
    <mergeCell ref="H45:I46"/>
    <mergeCell ref="E51:E52"/>
    <mergeCell ref="E29:E30"/>
    <mergeCell ref="C43:D44"/>
    <mergeCell ref="H47:I48"/>
    <mergeCell ref="H27:I28"/>
    <mergeCell ref="C27:D28"/>
    <mergeCell ref="F21:F22"/>
    <mergeCell ref="H37:I38"/>
    <mergeCell ref="F51:F52"/>
    <mergeCell ref="F17:F18"/>
    <mergeCell ref="G37:G38"/>
    <mergeCell ref="F41:F42"/>
    <mergeCell ref="F23:F24"/>
    <mergeCell ref="C12:D12"/>
    <mergeCell ref="B49:B50"/>
    <mergeCell ref="F43:F44"/>
    <mergeCell ref="C37:D38"/>
    <mergeCell ref="B33:B34"/>
    <mergeCell ref="H25:I26"/>
    <mergeCell ref="F39:F40"/>
    <mergeCell ref="F49:F50"/>
    <mergeCell ref="F29:F30"/>
    <mergeCell ref="H41:I42"/>
    <mergeCell ref="C29:D30"/>
    <mergeCell ref="B21:B22"/>
    <mergeCell ref="E43:E44"/>
    <mergeCell ref="E17:E18"/>
    <mergeCell ref="G43:G44"/>
    <mergeCell ref="G17:G18"/>
    <mergeCell ref="B47:B48"/>
    <mergeCell ref="F25:F26"/>
    <mergeCell ref="E33:E34"/>
    <mergeCell ref="H4:I4"/>
    <mergeCell ref="E19:E20"/>
    <mergeCell ref="G19:G20"/>
    <mergeCell ref="C17:D18"/>
    <mergeCell ref="B39:B40"/>
    <mergeCell ref="E35:E36"/>
    <mergeCell ref="C19:D20"/>
    <mergeCell ref="B19:B20"/>
    <mergeCell ref="G29:G30"/>
    <mergeCell ref="F27:F28"/>
    <mergeCell ref="C11:D11"/>
    <mergeCell ref="H23:I24"/>
    <mergeCell ref="E45:E46"/>
    <mergeCell ref="G45:G46"/>
    <mergeCell ref="H43:I44"/>
    <mergeCell ref="B3:D3"/>
    <mergeCell ref="F19:F20"/>
    <mergeCell ref="B51:B52"/>
    <mergeCell ref="E47:E48"/>
    <mergeCell ref="G47:G48"/>
    <mergeCell ref="C45:D46"/>
    <mergeCell ref="B41:B42"/>
    <mergeCell ref="E37:E38"/>
    <mergeCell ref="C13:D13"/>
    <mergeCell ref="G31:G32"/>
    <mergeCell ref="H49:I50"/>
    <mergeCell ref="B2:D2"/>
  </mergeCells>
  <printOptions horizontalCentered="1"/>
  <pageMargins left="0" right="0.1968503937007874" top="1.062992125984252" bottom="0.984251968503937" header="0.5118110236220472" footer="0.5118110236220472"/>
  <pageSetup orientation="landscape" paperSize="9" scale="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2021-05-11T09:01:08Z</dcterms:created>
  <dcterms:modified xsi:type="dcterms:W3CDTF">2026-10-03T00:18:51Z</dcterms:modified>
  <cp:lastPrinted>2026-07-21T02:33:07Z</cp:lastPrinted>
</cp:coreProperties>
</file>